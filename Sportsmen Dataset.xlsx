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Owner\OneDrive\Desktop\excel\project\Excel case study - 2\"/>
    </mc:Choice>
  </mc:AlternateContent>
  <xr:revisionPtr revIDLastSave="0" documentId="13_ncr:1_{F29632A0-177A-43A1-943C-D4CD758AD00D}" xr6:coauthVersionLast="47" xr6:coauthVersionMax="47" xr10:uidLastSave="{00000000-0000-0000-0000-000000000000}"/>
  <workbookProtection lockStructure="1"/>
  <bookViews>
    <workbookView xWindow="-108" yWindow="-108" windowWidth="23256" windowHeight="12456" tabRatio="758" firstSheet="2" activeTab="4"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definedNames>
    <definedName name="_xlcn.WorksheetConnection_SPORTSMENA1S511" hidden="1">SPORTSMEN!$A$1:$S$51</definedName>
    <definedName name="Slicer_SPORT_LOCATION">#N/A</definedName>
  </definedNames>
  <calcPr calcId="191029"/>
  <pivotCaches>
    <pivotCache cacheId="0" r:id="rId9"/>
    <pivotCache cacheId="74" r:id="rId10"/>
  </pivotCaches>
  <extLst>
    <ext xmlns:x14="http://schemas.microsoft.com/office/spreadsheetml/2009/9/main" uri="{876F7934-8845-4945-9796-88D515C7AA90}">
      <x14:pivotCaches>
        <pivotCache cacheId="2"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PORTSMEN!$A$1:$S$5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7" l="1"/>
  <c r="K8" i="7"/>
  <c r="K9" i="7"/>
  <c r="K10" i="7"/>
  <c r="K11" i="7"/>
  <c r="K12" i="7"/>
  <c r="K13" i="7"/>
  <c r="K14" i="7"/>
  <c r="K15" i="7"/>
  <c r="K16" i="7"/>
  <c r="K6" i="7"/>
  <c r="J7" i="7"/>
  <c r="J8" i="7"/>
  <c r="J9" i="7"/>
  <c r="J10" i="7"/>
  <c r="J11" i="7"/>
  <c r="J12" i="7"/>
  <c r="J13" i="7"/>
  <c r="J14" i="7"/>
  <c r="J15" i="7"/>
  <c r="J16" i="7"/>
  <c r="J6" i="7"/>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2" i="1"/>
  <c r="I4" i="7" a="1"/>
  <c r="I4" i="7"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2" i="1"/>
  <c r="L3"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68286B-2786-4A3E-93D8-B6F43C452A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9D78B37-650C-4A24-8614-20FE26760F20}" name="WorksheetConnection_SPORTSMEN!$A$1:$S$51" type="102" refreshedVersion="8" minRefreshableVersion="5">
    <extLst>
      <ext xmlns:x15="http://schemas.microsoft.com/office/spreadsheetml/2010/11/main" uri="{DE250136-89BD-433C-8126-D09CA5730AF9}">
        <x15:connection id="Range" autoDelete="1">
          <x15:rangePr sourceName="_xlcn.WorksheetConnection_SPORTSMENA1S5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<sst xmlns="http://schemas.openxmlformats.org/spreadsheetml/2006/main" count="850" uniqueCount="386">
  <si>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</si>
  <si>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</si>
  <si>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</si>
  <si>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</si>
  <si>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</si>
  <si>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</si>
  <si>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</si>
  <si>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</si>
  <si>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</si>
  <si>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</si>
  <si>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</si>
  <si>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</si>
  <si>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</si>
  <si>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</si>
  <si>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</si>
  <si>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</si>
  <si>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</si>
  <si>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</si>
  <si>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</si>
  <si>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</si>
  <si>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</si>
  <si>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</si>
  <si>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</si>
  <si>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</si>
  <si>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</si>
  <si>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</si>
  <si>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</si>
  <si>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</si>
  <si>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</si>
  <si>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</si>
  <si>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</si>
  <si>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</si>
  <si>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</si>
  <si>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</si>
  <si>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</si>
  <si>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</si>
  <si>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</si>
  <si>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</si>
  <si>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</si>
  <si>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</si>
  <si>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</si>
  <si>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</si>
  <si>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</si>
  <si>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</si>
  <si>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</si>
  <si>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</si>
  <si>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</si>
  <si>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</si>
  <si>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</si>
  <si>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</si>
  <si>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</si>
  <si>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</si>
  <si>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</si>
  <si>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</si>
  <si>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</si>
  <si>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</si>
  <si>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</si>
  <si>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</si>
  <si>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</si>
  <si>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</si>
  <si>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</si>
  <si>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</si>
  <si>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</si>
  <si>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</si>
  <si>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</si>
  <si>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</si>
  <si>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</si>
  <si>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</si>
  <si>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</si>
  <si>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</si>
  <si>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</si>
  <si>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</si>
  <si>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</si>
  <si>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</si>
  <si>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</si>
  <si>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</si>
  <si>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</si>
  <si>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</si>
  <si>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</si>
  <si>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</si>
  <si>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</si>
  <si>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</si>
  <si>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</si>
  <si>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</si>
  <si>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</si>
  <si>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</si>
  <si>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</si>
  <si>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</si>
  <si>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</si>
  <si>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</si>
  <si>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</si>
  <si>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</si>
  <si>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</si>
  <si>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</si>
  <si>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</si>
  <si>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</si>
  <si>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</si>
  <si>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</si>
  <si>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</si>
  <si>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</si>
  <si>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</si>
  <si>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</si>
  <si>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</si>
  <si>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</si>
  <si>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</si>
  <si>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</si>
  <si>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</si>
  <si>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</si>
  <si>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</si>
  <si>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</si>
  <si>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</si>
  <si>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</si>
  <si>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</si>
  <si>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</si>
  <si>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</si>
  <si>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</si>
  <si>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</si>
  <si>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</si>
  <si>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</si>
  <si>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</si>
  <si>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</si>
  <si>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</si>
  <si>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</si>
  <si>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</si>
  <si>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</si>
  <si>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</si>
  <si>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</si>
  <si>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</si>
  <si>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</si>
  <si>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</si>
  <si>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</si>
  <si>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</si>
  <si>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</si>
  <si>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</si>
  <si>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</si>
  <si>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</si>
  <si>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</si>
  <si>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</si>
  <si>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</si>
  <si>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</si>
  <si>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</si>
  <si>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</si>
  <si>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</si>
  <si>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</si>
  <si>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</si>
  <si>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</si>
  <si>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</si>
  <si>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</si>
  <si>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</si>
  <si>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</si>
  <si>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</si>
  <si>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</si>
  <si>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</si>
  <si>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</si>
  <si>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</si>
  <si>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</si>
  <si>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</si>
  <si>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</si>
  <si>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</si>
  <si>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</si>
  <si>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</si>
  <si>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</si>
  <si>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</si>
  <si>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</si>
  <si>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</si>
  <si>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</si>
  <si>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</si>
  <si>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</si>
  <si>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</si>
  <si>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</si>
  <si>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</si>
  <si>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</si>
  <si>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</si>
  <si>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</si>
  <si>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</si>
  <si>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</si>
  <si>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</si>
  <si>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</si>
  <si>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</si>
  <si>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</si>
  <si>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</si>
  <si>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</si>
  <si>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</si>
  <si>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</si>
  <si>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</si>
  <si>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</si>
  <si>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</si>
  <si>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</si>
  <si>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</si>
  <si>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</si>
  <si>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</si>
  <si>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</si>
  <si>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</si>
  <si>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</si>
  <si>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</si>
  <si>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</si>
  <si>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</si>
  <si>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</si>
  <si>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</si>
  <si>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</si>
  <si>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</si>
  <si>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</si>
  <si>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</si>
  <si>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</si>
  <si>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</si>
  <si>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</si>
  <si>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</si>
  <si>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</si>
  <si>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</si>
  <si>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</si>
  <si>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</si>
  <si>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</si>
  <si>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</si>
  <si>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</si>
  <si>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</si>
  <si>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</si>
  <si>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</si>
  <si>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</si>
  <si>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</si>
  <si>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</si>
  <si>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</si>
  <si>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</si>
  <si>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MEMBER ID</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</si>
  <si>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</si>
  <si>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</si>
  <si>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</si>
  <si>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</si>
  <si>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</si>
  <si>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</si>
  <si>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</si>
  <si>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</si>
  <si>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</si>
  <si>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</si>
  <si>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</si>
  <si>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</si>
  <si>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</si>
  <si>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</si>
  <si>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</si>
  <si>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</si>
  <si>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</si>
  <si>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</si>
  <si>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</si>
  <si>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</si>
  <si>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</si>
  <si>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</si>
  <si>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</si>
  <si>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</si>
  <si>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</si>
  <si>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</si>
  <si>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</si>
  <si>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</si>
  <si>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</si>
  <si>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</si>
  <si>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</si>
  <si>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</si>
  <si>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</si>
  <si>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</si>
  <si>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</si>
  <si>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</si>
  <si>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</si>
  <si>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</si>
  <si>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</si>
  <si>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</si>
  <si>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</si>
  <si>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</si>
  <si>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</si>
  <si>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</si>
  <si>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</si>
  <si>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</si>
  <si>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</si>
  <si>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</si>
  <si>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</si>
  <si>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</si>
  <si>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</si>
  <si>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</si>
  <si>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</si>
  <si>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</si>
  <si>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</si>
  <si>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</si>
  <si>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</si>
  <si>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</si>
  <si>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</si>
  <si>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</si>
  <si>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No. Of Players</t>
  </si>
  <si>
    <t>Countries</t>
  </si>
  <si>
    <t>Genders</t>
  </si>
  <si>
    <t>ANNIE  ABBOTT</t>
  </si>
  <si>
    <t>AURELIE  LIESUCHKE</t>
  </si>
  <si>
    <t>TOMAS FERREIRA FILHO</t>
  </si>
  <si>
    <t>DARBY  CRUICKSHANK</t>
  </si>
  <si>
    <t>JAYDON  BORER</t>
  </si>
  <si>
    <t>MORIAH   LYNCH</t>
  </si>
  <si>
    <t>AMIYA  EICHMANN</t>
  </si>
  <si>
    <t>PIERCE  RAU</t>
  </si>
  <si>
    <t>AMELIA  STEVENS</t>
  </si>
  <si>
    <t>TOBY  SIMPSON</t>
  </si>
  <si>
    <t>ETHAN  MURPHY</t>
  </si>
  <si>
    <t>ASHLEY  WOOD</t>
  </si>
  <si>
    <t>MEGAN  SCOTT</t>
  </si>
  <si>
    <t>HELMUT  WEINHAE</t>
  </si>
  <si>
    <t>MILENA  SCHOTIN</t>
  </si>
  <si>
    <t>LOTHAR  BIRNBAUM</t>
  </si>
  <si>
    <t>PIETRO  STOLZE</t>
  </si>
  <si>
    <t>RICHARD   TLUSTEK</t>
  </si>
  <si>
    <t>EARNESTINE  RAYNOR</t>
  </si>
  <si>
    <t>JASON  GAYLORD</t>
  </si>
  <si>
    <t>KENDRICK  SAUER</t>
  </si>
  <si>
    <t>ANNABELL  OLSON</t>
  </si>
  <si>
    <t>JENA  UPTON</t>
  </si>
  <si>
    <t>SHANNY  BINS</t>
  </si>
  <si>
    <t>TIA  ABSHIRE</t>
  </si>
  <si>
    <t>ISABEL  RUNOLFSDOTTIR</t>
  </si>
  <si>
    <t>BARNEY  WESACK</t>
  </si>
  <si>
    <t>BARUCH  KADE</t>
  </si>
  <si>
    <t>LIESBETH  ROSEMANN</t>
  </si>
  <si>
    <t>VALENTINE  MOREAU</t>
  </si>
  <si>
    <t>PAULETTE  DURAND</t>
  </si>
  <si>
    <t>LAURE-ALIX  CHEVALIER</t>
  </si>
  <si>
    <t>CLAUDE  TOUSSAINT</t>
  </si>
  <si>
    <t>VICTOR  LENOIR</t>
  </si>
  <si>
    <t>ARTHUR  LENOIR</t>
  </si>
  <si>
    <t>BENJAMIN  LEBRUN-BRUN</t>
  </si>
  <si>
    <t>ANTOINE  MAILLARD</t>
  </si>
  <si>
    <t>BERNARD  HOARAU-GUYON</t>
  </si>
  <si>
    <t>HIDALGO CANTU TERCERO</t>
  </si>
  <si>
    <t>HADALGO  POLANCO</t>
  </si>
  <si>
    <t>LAURA  OLIVIERA</t>
  </si>
  <si>
    <t>AINHOA  GARZA</t>
  </si>
  <si>
    <t>ISABEL  BANDA</t>
  </si>
  <si>
    <t>CAROLOTA  MATEOS</t>
  </si>
  <si>
    <t>ELIZE  PRINS</t>
  </si>
  <si>
    <t>RYAN  PHAM</t>
  </si>
  <si>
    <t>ELISE  ROTTEVEEL</t>
  </si>
  <si>
    <t>MIRJAM  SODERBERG</t>
  </si>
  <si>
    <t>BERNDT  PALSSON</t>
  </si>
  <si>
    <t>ADRIANO PONTES SOBRINHO</t>
  </si>
  <si>
    <t>Abbott.Annie@xyz.org</t>
  </si>
  <si>
    <t>Liesuchke.Aurelie@xyz.org</t>
  </si>
  <si>
    <t>Filho.Tomas@xyz.com</t>
  </si>
  <si>
    <t>Cruickshank.Darby@xyz.org</t>
  </si>
  <si>
    <t>Borer.Jaydon@xyz.org</t>
  </si>
  <si>
    <t>Lynch.Moriah @xyz.org</t>
  </si>
  <si>
    <t>Eichmann.Amiya@xyz.org</t>
  </si>
  <si>
    <t>Rau.Pierce@xyz.org</t>
  </si>
  <si>
    <t>Stevens.Amelia@xyz.org</t>
  </si>
  <si>
    <t>Simpson.Toby@xyz.org</t>
  </si>
  <si>
    <t>Murphy.Ethan@xyz.org</t>
  </si>
  <si>
    <t>Wood.Ashley@xyz.org</t>
  </si>
  <si>
    <t>Scott.Megan@xyz.org</t>
  </si>
  <si>
    <t>Weinhae.Helmut@xyz.com</t>
  </si>
  <si>
    <t>Schotin.Milena@xyz.com</t>
  </si>
  <si>
    <t>Birnbaum.Lothar@xyz.com</t>
  </si>
  <si>
    <t>Stolze.Pietro@xyz.com</t>
  </si>
  <si>
    <t>Tlustek.Richard @xyz.com</t>
  </si>
  <si>
    <t>Raynor.Earnestine@xyz.org</t>
  </si>
  <si>
    <t>Gaylord.Jason@xyz.org</t>
  </si>
  <si>
    <t>Sauer.Kendrick@xyz.org</t>
  </si>
  <si>
    <t>Olson.Annabell@xyz.org</t>
  </si>
  <si>
    <t>Upton.Jena@xyz.org</t>
  </si>
  <si>
    <t>Bins.Shanny@xyz.org</t>
  </si>
  <si>
    <t>Abshire.Tia@xyz.org</t>
  </si>
  <si>
    <t>Runolfsdottir.Isabel@xyz.org</t>
  </si>
  <si>
    <t>Wesack.Barney@xyz.com</t>
  </si>
  <si>
    <t>Kade.Baruch@xyz.com</t>
  </si>
  <si>
    <t>Rosemann.Liesbeth@xyz.com</t>
  </si>
  <si>
    <t>Moreau.Valentine@xyz.com</t>
  </si>
  <si>
    <t>Durand.Paulette@xyz.com</t>
  </si>
  <si>
    <t>Chevalier.Laure-Alix@xyz.com</t>
  </si>
  <si>
    <t>Toussaint.Claude@xyz.com</t>
  </si>
  <si>
    <t>Lenoir.Victor@xyz.com</t>
  </si>
  <si>
    <t>Lenoir.Arthur@xyz.com</t>
  </si>
  <si>
    <t>Lebrun-Brun.Benjamin@xyz.com</t>
  </si>
  <si>
    <t>Maillard.Antoine@xyz.com</t>
  </si>
  <si>
    <t>Hoarau-Guyon.Bernard@xyz.com</t>
  </si>
  <si>
    <t>Tercero.Hidalgo@xyz.com</t>
  </si>
  <si>
    <t>Polanco.Hadalgo@xyz.com</t>
  </si>
  <si>
    <t>Oliviera.Laura@xyz.com</t>
  </si>
  <si>
    <t>Garza.Ainhoa@xyz.com</t>
  </si>
  <si>
    <t>Banda.Isabel@xyz.com</t>
  </si>
  <si>
    <t>Mateos.Carolota@xyz.com</t>
  </si>
  <si>
    <t>Prins.Elize@xyz.com</t>
  </si>
  <si>
    <t>Pham.Ryan@xyz.com</t>
  </si>
  <si>
    <t>Rotteveel.Elise@xyz.com</t>
  </si>
  <si>
    <t>Soderberg.Mirjam@xyz.com</t>
  </si>
  <si>
    <t>Palsson.Berndt@xyz.com</t>
  </si>
  <si>
    <t>Sobrinho.Adriano@xyz.com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</si>
</sst>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
    <numFmt numFmtId="166" formatCode="dd\ mmm\ \'yyyy"/>
    <numFmt numFmtId="167" formatCode="0.0\ &quot;Kg&quot;"/>
    <numFmt numFmtId="168" formatCode="0.00,\ &quot;K&quot;"/>
    <numFmt numFmtId="170" formatCode="[&lt;100000]\ 0.00,&quot;K&quot;;[&gt;=100000]\ 0.0,&quot;K&quot;"/>
  </numFmts>
  <fonts count="13"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
      <b/>
      <sz val="11"/>
      <color theme="1"/>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s>
  <cellStyleXfs count="1">
    <xf numFmtId="0" fontId="0" fillId="0" borderId="0"/>
  </cellStyleXfs>
  <cellXfs count="52">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xf numFmtId="0" fontId="6" fillId="0" borderId="11" xfId="0" applyFont="1" applyBorder="1"/>
    <xf numFmtId="0" fontId="6" fillId="0" borderId="6" xfId="0" applyFont="1" applyBorder="1"/>
    <xf numFmtId="0" fontId="7" fillId="0" borderId="12" xfId="0" applyFont="1" applyBorder="1"/>
    <xf numFmtId="0" fontId="6" fillId="0" borderId="16" xfId="0" applyFont="1" applyBorder="1"/>
    <xf numFmtId="0" fontId="6" fillId="0" borderId="17" xfId="0" applyFont="1" applyBorder="1"/>
    <xf numFmtId="0" fontId="7" fillId="0" borderId="18" xfId="0" applyFont="1" applyBorder="1"/>
    <xf numFmtId="0" fontId="7" fillId="0" borderId="6" xfId="0" applyFont="1" applyBorder="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xf numFmtId="0" fontId="7" fillId="0" borderId="12" xfId="0" applyFont="1" applyBorder="1" applyAlignment="1">
      <alignment vertical="center" wrapText="1"/>
    </xf>
    <xf numFmtId="0" fontId="1" fillId="2" borderId="6" xfId="0" applyFont="1" applyFill="1" applyBorder="1"/>
    <xf numFmtId="0" fontId="0" fillId="0" borderId="6" xfId="0" applyBorder="1" applyAlignment="1">
      <alignment horizontal="left"/>
    </xf>
    <xf numFmtId="0" fontId="0" fillId="0" borderId="6" xfId="0" applyBorder="1"/>
    <xf numFmtId="165" fontId="0" fillId="0" borderId="1" xfId="0" applyNumberFormat="1" applyBorder="1"/>
    <xf numFmtId="166" fontId="0" fillId="0" borderId="1" xfId="0" applyNumberFormat="1" applyBorder="1" applyAlignment="1">
      <alignment horizontal="right"/>
    </xf>
    <xf numFmtId="167" fontId="0" fillId="0" borderId="1" xfId="0" applyNumberFormat="1" applyBorder="1"/>
    <xf numFmtId="0" fontId="0" fillId="0" borderId="0" xfId="0" pivotButton="1"/>
    <xf numFmtId="0" fontId="12" fillId="0" borderId="1" xfId="0" applyFont="1" applyBorder="1"/>
    <xf numFmtId="0" fontId="12" fillId="2" borderId="1" xfId="0" applyFont="1" applyFill="1" applyBorder="1"/>
    <xf numFmtId="0" fontId="3" fillId="6" borderId="0" xfId="0" applyFont="1" applyFill="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xf numFmtId="170" fontId="0" fillId="0" borderId="1" xfId="0" applyNumberFormat="1" applyBorder="1"/>
    <xf numFmtId="170" fontId="1" fillId="2" borderId="1" xfId="0" applyNumberFormat="1" applyFont="1" applyFill="1" applyBorder="1" applyAlignment="1">
      <alignment horizontal="left"/>
    </xf>
    <xf numFmtId="17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5</xdr:col>
      <xdr:colOff>7620</xdr:colOff>
      <xdr:row>1</xdr:row>
      <xdr:rowOff>175261</xdr:rowOff>
    </xdr:from>
    <xdr:to>
      <xdr:col>6</xdr:col>
      <xdr:colOff>487680</xdr:colOff>
      <xdr:row>7</xdr:row>
      <xdr:rowOff>60960</xdr:rowOff>
    </xdr:to>
    <mc:AlternateContent xmlns:mc="http://schemas.openxmlformats.org/markup-compatibility/2006">
      <mc:Choice xmlns:a14="http://schemas.microsoft.com/office/drawing/2010/main" Requires="a14">
        <xdr:graphicFrame macro="">
          <xdr:nvGraphicFramePr>
            <xdr:cNvPr id="2" name="SPORT LOCATION">
              <a:extLst>
                <a:ext uri="{FF2B5EF4-FFF2-40B4-BE49-F238E27FC236}">
                  <a16:creationId xmlns:a16="http://schemas.microsoft.com/office/drawing/2014/main" id="{06C583FC-6800-B88F-F9F9-F6B49C230BAA}"/>
                </a:ext>
              </a:extLst>
            </xdr:cNvPr>
            <xdr:cNvGraphicFramePr/>
          </xdr:nvGraphicFramePr>
          <xdr:xfrm>
            <a:off x="0" y="0"/>
            <a:ext cx="0" cy="0"/>
          </xdr:xfrm>
          <a:graphic>
            <a:graphicData uri="http://schemas.microsoft.com/office/drawing/2010/slicer">
              <sle:slicer xmlns:sle="http://schemas.microsoft.com/office/drawing/2010/slicer" name="SPORT LOCATION"/>
            </a:graphicData>
          </a:graphic>
        </xdr:graphicFrame>
      </mc:Choice>
      <mc:Fallback>
        <xdr:sp macro="" textlink="">
          <xdr:nvSpPr>
            <xdr:cNvPr id="0" name=""/>
            <xdr:cNvSpPr>
              <a:spLocks noTextEdit="1"/>
            </xdr:cNvSpPr>
          </xdr:nvSpPr>
          <xdr:spPr>
            <a:xfrm>
              <a:off x="5981700" y="358141"/>
              <a:ext cx="172212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5954.594126736112" createdVersion="8" refreshedVersion="8" minRefreshableVersion="3" recordCount="50" xr:uid="{712F8453-34EB-4268-8CF4-F3AE14D00BAB}">
  <cacheSource type="worksheet">
    <worksheetSource ref="A1:S51" sheet="SPORTSMEN"/>
  </cacheSource>
  <cacheFields count="19">
    <cacheField name="MEMBER ID" numFmtId="165">
      <sharedItems containsSemiMixedTypes="0" containsString="0" containsNumber="1" containsInteger="1" minValue="1" maxValue="50"/>
    </cacheField>
    <cacheField name="FULL NAME" numFmtId="0">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166">
      <sharedItems containsSemiMixedTypes="0" containsNonDate="0" containsDate="1" containsString="0" minDate="1955-07-30T00:00:00" maxDate="1999-08-29T00:00:00"/>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acheField>
    <cacheField name="EMAIL" numFmtId="0">
      <sharedItems/>
    </cacheField>
    <cacheField name="WEIGHT" numFmtId="167">
      <sharedItems containsSemiMixedTypes="0" containsString="0" containsNumber="1" minValue="45.9" maxValue="105.9"/>
    </cacheField>
    <cacheField name="EYECOLOR" numFmtId="0">
      <sharedItems/>
    </cacheField>
    <cacheField name="BLOODTYPE" numFmtId="0">
      <sharedItems/>
    </cacheField>
    <cacheField name="SPORT LOCATION" numFmtId="0">
      <sharedItems/>
    </cacheField>
    <cacheField name="SPORTS" numFmtId="0">
      <sharedItems/>
    </cacheField>
    <cacheField name="SALARY" numFmtId="168">
      <sharedItems containsSemiMixedTypes="0" containsString="0" containsNumber="1" containsInteger="1" minValue="10241" maxValue="1174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5972.516859837961" backgroundQuery="1" createdVersion="8" refreshedVersion="8" minRefreshableVersion="3" recordCount="0" supportSubquery="1" supportAdvancedDrill="1" xr:uid="{FFD3DF6A-7B6A-4BE6-8BDB-F7CDC9A670FB}">
  <cacheSource type="external" connectionId="1"/>
  <cacheFields count="5">
    <cacheField name="[Range].[MEMBER ID].[MEMBER ID]" caption="MEMBER ID" numFmtId="0" level="1">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extLst>
        <ext xmlns:x15="http://schemas.microsoft.com/office/spreadsheetml/2010/11/main" uri="{4F2E5C28-24EA-4eb8-9CBF-B6C8F9C3D259}">
          <x15:cachedUniqueNames>
            <x15:cachedUniqueName index="0" name="[Range].[MEMBER ID].&amp;[1]"/>
            <x15:cachedUniqueName index="1" name="[Range].[MEMBER ID].&amp;[2]"/>
            <x15:cachedUniqueName index="2" name="[Range].[MEMBER ID].&amp;[3]"/>
            <x15:cachedUniqueName index="3" name="[Range].[MEMBER ID].&amp;[4]"/>
            <x15:cachedUniqueName index="4" name="[Range].[MEMBER ID].&amp;[5]"/>
            <x15:cachedUniqueName index="5" name="[Range].[MEMBER ID].&amp;[6]"/>
            <x15:cachedUniqueName index="6" name="[Range].[MEMBER ID].&amp;[7]"/>
            <x15:cachedUniqueName index="7" name="[Range].[MEMBER ID].&amp;[8]"/>
            <x15:cachedUniqueName index="8" name="[Range].[MEMBER ID].&amp;[9]"/>
            <x15:cachedUniqueName index="9" name="[Range].[MEMBER ID].&amp;[10]"/>
            <x15:cachedUniqueName index="10" name="[Range].[MEMBER ID].&amp;[11]"/>
            <x15:cachedUniqueName index="11" name="[Range].[MEMBER ID].&amp;[12]"/>
            <x15:cachedUniqueName index="12" name="[Range].[MEMBER ID].&amp;[13]"/>
            <x15:cachedUniqueName index="13" name="[Range].[MEMBER ID].&amp;[14]"/>
            <x15:cachedUniqueName index="14" name="[Range].[MEMBER ID].&amp;[15]"/>
            <x15:cachedUniqueName index="15" name="[Range].[MEMBER ID].&amp;[16]"/>
            <x15:cachedUniqueName index="16" name="[Range].[MEMBER ID].&amp;[17]"/>
            <x15:cachedUniqueName index="17" name="[Range].[MEMBER ID].&amp;[18]"/>
            <x15:cachedUniqueName index="18" name="[Range].[MEMBER ID].&amp;[19]"/>
            <x15:cachedUniqueName index="19" name="[Range].[MEMBER ID].&amp;[20]"/>
            <x15:cachedUniqueName index="20" name="[Range].[MEMBER ID].&amp;[21]"/>
            <x15:cachedUniqueName index="21" name="[Range].[MEMBER ID].&amp;[22]"/>
            <x15:cachedUniqueName index="22" name="[Range].[MEMBER ID].&amp;[23]"/>
            <x15:cachedUniqueName index="23" name="[Range].[MEMBER ID].&amp;[24]"/>
            <x15:cachedUniqueName index="24" name="[Range].[MEMBER ID].&amp;[25]"/>
            <x15:cachedUniqueName index="25" name="[Range].[MEMBER ID].&amp;[26]"/>
            <x15:cachedUniqueName index="26" name="[Range].[MEMBER ID].&amp;[27]"/>
            <x15:cachedUniqueName index="27" name="[Range].[MEMBER ID].&amp;[28]"/>
            <x15:cachedUniqueName index="28" name="[Range].[MEMBER ID].&amp;[29]"/>
            <x15:cachedUniqueName index="29" name="[Range].[MEMBER ID].&amp;[30]"/>
            <x15:cachedUniqueName index="30" name="[Range].[MEMBER ID].&amp;[31]"/>
            <x15:cachedUniqueName index="31" name="[Range].[MEMBER ID].&amp;[32]"/>
            <x15:cachedUniqueName index="32" name="[Range].[MEMBER ID].&amp;[33]"/>
            <x15:cachedUniqueName index="33" name="[Range].[MEMBER ID].&amp;[34]"/>
            <x15:cachedUniqueName index="34" name="[Range].[MEMBER ID].&amp;[35]"/>
            <x15:cachedUniqueName index="35" name="[Range].[MEMBER ID].&amp;[36]"/>
            <x15:cachedUniqueName index="36" name="[Range].[MEMBER ID].&amp;[37]"/>
            <x15:cachedUniqueName index="37" name="[Range].[MEMBER ID].&amp;[38]"/>
            <x15:cachedUniqueName index="38" name="[Range].[MEMBER ID].&amp;[39]"/>
            <x15:cachedUniqueName index="39" name="[Range].[MEMBER ID].&amp;[40]"/>
            <x15:cachedUniqueName index="40" name="[Range].[MEMBER ID].&amp;[41]"/>
            <x15:cachedUniqueName index="41" name="[Range].[MEMBER ID].&amp;[42]"/>
            <x15:cachedUniqueName index="42" name="[Range].[MEMBER ID].&amp;[43]"/>
            <x15:cachedUniqueName index="43" name="[Range].[MEMBER ID].&amp;[44]"/>
            <x15:cachedUniqueName index="44" name="[Range].[MEMBER ID].&amp;[45]"/>
            <x15:cachedUniqueName index="45" name="[Range].[MEMBER ID].&amp;[46]"/>
            <x15:cachedUniqueName index="46" name="[Range].[MEMBER ID].&amp;[47]"/>
            <x15:cachedUniqueName index="47" name="[Range].[MEMBER ID].&amp;[48]"/>
            <x15:cachedUniqueName index="48" name="[Range].[MEMBER ID].&amp;[49]"/>
            <x15:cachedUniqueName index="49" name="[Range].[MEMBER ID].&amp;[50]"/>
          </x15:cachedUniqueNames>
        </ext>
      </extLst>
    </cacheField>
    <cacheField name="[Range].[FULL NAME].[FULL NAME]" caption="FULL NAME" numFmtId="0" hierarchy="1" level="1">
      <sharedItems count="50">
        <s v="ANNIE  ABBOTT"/>
        <s v="AURELIE  LIESUCHKE"/>
        <s v="TOMAS FERREIRA FILHO"/>
        <s v="DARBY  CRUICKSHANK"/>
        <s v="JAYDON  BORER"/>
        <s v="MORIAH   LYNCH"/>
        <s v="AMIYA  EICHMANN"/>
        <s v="PIERCE  RAU"/>
        <s v="AMELIA  STEVENS"/>
        <s v="TOBY  SIMPSON"/>
        <s v="ETHAN  MURPHY"/>
        <s v="ASHLEY  WOOD"/>
        <s v="MEGAN  SCOTT"/>
        <s v="HELMUT  WEINHAE"/>
        <s v="MILENA  SCHOTIN"/>
        <s v="LOTHAR  BIRNBAUM"/>
        <s v="PIETRO  STOLZE"/>
        <s v="RICHARD   TLUSTEK"/>
        <s v="EARNESTINE  RAYNOR"/>
        <s v="JASON  GAYLORD"/>
        <s v="KENDRICK  SAUER"/>
        <s v="ANNABELL  OLSON"/>
        <s v="JENA  UPTON"/>
        <s v="SHANNY  BINS"/>
        <s v="TIA  ABSHIRE"/>
        <s v="ISABEL  RUNOLFSDOTTIR"/>
        <s v="BARNEY  WESACK"/>
        <s v="BARUCH  KADE"/>
        <s v="LIESBETH  ROSEMANN"/>
        <s v="VALENTINE  MOREAU"/>
        <s v="PAULETTE  DURAND"/>
        <s v="LAURE-ALIX  CHEVALIER"/>
        <s v="CLAUDE  TOUSSAINT"/>
        <s v="VICTOR  LENOIR"/>
        <s v="ARTHUR  LENOIR"/>
        <s v="BENJAMIN  LEBRUN-BRUN"/>
        <s v="ANTOINE  MAILLARD"/>
        <s v="BERNARD  HOARAU-GUYON"/>
        <s v="HIDALGO CANTU TERCERO"/>
        <s v="HADALGO  POLANCO"/>
        <s v="LAURA  OLIVIERA"/>
        <s v="AINHOA  GARZA"/>
        <s v="ISABEL  BANDA"/>
        <s v="CAROLOTA  MATEOS"/>
        <s v="ELIZE  PRINS"/>
        <s v="RYAN  PHAM"/>
        <s v="ELISE  ROTTEVEEL"/>
        <s v="MIRJAM  SODERBERG"/>
        <s v="BERNDT  PALSSON"/>
        <s v="ADRIANO PONTES SOBRINHO"/>
      </sharedItems>
    </cacheField>
    <cacheField name="[Range].[GENDER].[GENDER]" caption="GENDER" numFmtId="0" hierarchy="8" level="1">
      <sharedItems count="2">
        <s v="Female"/>
        <s v="Male"/>
      </sharedItems>
    </cacheField>
    <cacheField name="[Range].[EMAIL].[EMAIL]" caption="EMAIL" numFmtId="0" hierarchy="12" level="1">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Range].[SPORT LOCATION].[SPORT LOCATION]" caption="SPORT LOCATION" numFmtId="0" hierarchy="16" level="1">
      <sharedItems containsSemiMixedTypes="0" containsNonDate="0" containsString="0"/>
    </cacheField>
  </cacheFields>
  <cacheHierarchies count="23">
    <cacheHierarchy uniqueName="[Range].[MEMBER ID]" caption="MEMBER ID" attribute="1" defaultMemberUniqueName="[Range].[MEMBER ID].[All]" allUniqueName="[Range].[MEMBER ID].[All]" dimensionUniqueName="[Range]" displayFolder="" count="2" memberValueDatatype="20" unbalanced="0">
      <fieldsUsage count="2">
        <fieldUsage x="-1"/>
        <fieldUsage x="0"/>
      </fieldsUsage>
    </cacheHierarchy>
    <cacheHierarchy uniqueName="[Range].[FULL NAME]" caption="FULL NAME" attribute="1" defaultMemberUniqueName="[Range].[FULL NAME].[All]" allUniqueName="[Range].[FULL NAME].[All]" dimensionUniqueName="[Range]" displayFolder="" count="2" memberValueDatatype="130" unbalanced="0">
      <fieldsUsage count="2">
        <fieldUsage x="-1"/>
        <fieldUsage x="1"/>
      </fieldsUsage>
    </cacheHierarchy>
    <cacheHierarchy uniqueName="[Range].[PREFIX]" caption="PREFIX" attribute="1" defaultMemberUniqueName="[Range].[PREFIX].[All]" allUniqueName="[Range].[PREFIX].[All]" dimensionUniqueName="[Range]" displayFolder="" count="2" memberValueDatatype="130" unbalanced="0"/>
    <cacheHierarchy uniqueName="[Range].[FIRSTNAME]" caption="FIRSTNAME" attribute="1" defaultMemberUniqueName="[Range].[FIRSTNAME].[All]" allUniqueName="[Range].[FIRSTNAME].[All]" dimensionUniqueName="[Range]" displayFolder="" count="2" memberValueDatatype="130" unbalanced="0"/>
    <cacheHierarchy uniqueName="[Range].[MIDDLENAME]" caption="MIDDLENAME" attribute="1" defaultMemberUniqueName="[Range].[MIDDLENAME].[All]" allUniqueName="[Range].[MIDDLENAME].[All]" dimensionUniqueName="[Range]" displayFolder="" count="2" memberValueDatatype="130" unbalanced="0"/>
    <cacheHierarchy uniqueName="[Range].[LASTNAME]" caption="LASTNAME" attribute="1" defaultMemberUniqueName="[Range].[LASTNAME].[All]" allUniqueName="[Range].[LASTNAME].[All]" dimensionUniqueName="[Range]" displayFolder="" count="2" memberValueDatatype="130" unbalanced="0"/>
    <cacheHierarchy uniqueName="[Range].[BIRTHDATE]" caption="BIRTHDATE" attribute="1" time="1" defaultMemberUniqueName="[Range].[BIRTHDATE].[All]" allUniqueName="[Range].[BIRTHDATE].[All]" dimensionUniqueName="[Range]" displayFolder="" count="2" memberValueDatatype="7" unbalanced="0"/>
    <cacheHierarchy uniqueName="[Range].[ZODIAC]" caption="ZODIAC" attribute="1" defaultMemberUniqueName="[Range].[ZODIAC].[All]" allUniqueName="[Range].[ZODIAC].[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COUNTRYCODE]" caption="COUNTRYCODE" attribute="1" defaultMemberUniqueName="[Range].[COUNTRYCODE].[All]" allUniqueName="[Range].[COUNTRYCODE].[All]" dimensionUniqueName="[Range]" displayFolder="" count="2" memberValueDatatype="130" unbalanced="0"/>
    <cacheHierarchy uniqueName="[Range].[COUNTRY NAME]" caption="COUNTRY NAME" attribute="1" defaultMemberUniqueName="[Range].[COUNTRY NAME].[All]" allUniqueName="[Range].[COUNTRY NAME].[All]" dimensionUniqueName="[Range]" displayFolder="" count="2" memberValueDatatype="130" unbalanced="0"/>
    <cacheHierarchy uniqueName="[Range].[LANGUAGE]" caption="LANGUAGE" attribute="1" defaultMemberUniqueName="[Range].[LANGUAGE].[All]" allUniqueName="[Range].[LANGUAGE].[All]" dimensionUniqueName="[Range]" displayFolder="" count="2" memberValueDatatype="130" unbalanced="0"/>
    <cacheHierarchy uniqueName="[Range].[EMAIL]" caption="EMAIL" attribute="1" defaultMemberUniqueName="[Range].[EMAIL].[All]" allUniqueName="[Range].[EMAIL].[All]" dimensionUniqueName="[Range]" displayFolder="" count="2" memberValueDatatype="130" unbalanced="0">
      <fieldsUsage count="2">
        <fieldUsage x="-1"/>
        <fieldUsage x="3"/>
      </fieldsUsage>
    </cacheHierarchy>
    <cacheHierarchy uniqueName="[Range].[WEIGHT]" caption="WEIGHT" attribute="1" defaultMemberUniqueName="[Range].[WEIGHT].[All]" allUniqueName="[Range].[WEIGHT].[All]" dimensionUniqueName="[Range]" displayFolder="" count="2" memberValueDatatype="5" unbalanced="0"/>
    <cacheHierarchy uniqueName="[Range].[EYECOLOR]" caption="EYECOLOR" attribute="1" defaultMemberUniqueName="[Range].[EYECOLOR].[All]" allUniqueName="[Range].[EYECOLOR].[All]" dimensionUniqueName="[Range]" displayFolder="" count="2" memberValueDatatype="130" unbalanced="0"/>
    <cacheHierarchy uniqueName="[Range].[BLOODTYPE]" caption="BLOODTYPE" attribute="1" defaultMemberUniqueName="[Range].[BLOODTYPE].[All]" allUniqueName="[Range].[BLOODTYPE].[All]" dimensionUniqueName="[Range]" displayFolder="" count="2" memberValueDatatype="130" unbalanced="0"/>
    <cacheHierarchy uniqueName="[Range].[SPORT LOCATION]" caption="SPORT LOCATION" attribute="1" defaultMemberUniqueName="[Range].[SPORT LOCATION].[All]" allUniqueName="[Range].[SPORT LOCATION].[All]" dimensionUniqueName="[Range]" displayFolder="" count="2" memberValueDatatype="130" unbalanced="0">
      <fieldsUsage count="2">
        <fieldUsage x="-1"/>
        <fieldUsage x="4"/>
      </fieldsUsage>
    </cacheHierarchy>
    <cacheHierarchy uniqueName="[Range].[SPORTS]" caption="SPORTS" attribute="1" defaultMemberUniqueName="[Range].[SPORTS].[All]" allUniqueName="[Range].[SPORTS].[All]" dimensionUniqueName="[Range]" displayFolder="" count="2" memberValueDatatype="130" unbalanced="0"/>
    <cacheHierarchy uniqueName="[Range].[SALARY]" caption="SALARY" attribute="1" defaultMemberUniqueName="[Range].[SALARY].[All]" allUniqueName="[Range].[SALARY].[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EMBER ID]" caption="Sum of MEMBER ID" measure="1" displayFolder="" measureGroup="Range" count="0" hidden="1">
      <extLst>
        <ext xmlns:x15="http://schemas.microsoft.com/office/spreadsheetml/2010/11/main" uri="{B97F6D7D-B522-45F9-BDA1-12C45D357490}">
          <x15:cacheHierarchy aggregatedColumn="0"/>
        </ext>
      </extLst>
    </cacheHierarchy>
    <cacheHierarchy uniqueName="[Measures].[Count of MEMBER ID]" caption="Count of MEMB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wner" refreshedDate="45954.612288425924" backgroundQuery="1" createdVersion="3" refreshedVersion="8" minRefreshableVersion="3" recordCount="0" supportSubquery="1" supportAdvancedDrill="1" xr:uid="{B2C4C7F9-BC81-4C37-9CE1-9685379CDE8A}">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Range].[MEMBER ID]" caption="MEMBER ID" attribute="1" defaultMemberUniqueName="[Range].[MEMBER ID].[All]" allUniqueName="[Range].[MEMBER ID].[All]" dimensionUniqueName="[Range]" displayFolder="" count="0" memberValueDatatype="20" unbalanced="0"/>
    <cacheHierarchy uniqueName="[Range].[FULL NAME]" caption="FULL NAME" attribute="1" defaultMemberUniqueName="[Range].[FULL NAME].[All]" allUniqueName="[Range].[FULL NAME].[All]" dimensionUniqueName="[Range]" displayFolder="" count="0" memberValueDatatype="130" unbalanced="0"/>
    <cacheHierarchy uniqueName="[Range].[PREFIX]" caption="PREFIX" attribute="1" defaultMemberUniqueName="[Range].[PREFIX].[All]" allUniqueName="[Range].[PREFIX].[All]" dimensionUniqueName="[Range]" displayFolder="" count="0" memberValueDatatype="130" unbalanced="0"/>
    <cacheHierarchy uniqueName="[Range].[FIRSTNAME]" caption="FIRSTNAME" attribute="1" defaultMemberUniqueName="[Range].[FIRSTNAME].[All]" allUniqueName="[Range].[FIRSTNAME].[All]" dimensionUniqueName="[Range]" displayFolder="" count="0" memberValueDatatype="130" unbalanced="0"/>
    <cacheHierarchy uniqueName="[Range].[MIDDLENAME]" caption="MIDDLENAME" attribute="1" defaultMemberUniqueName="[Range].[MIDDLENAME].[All]" allUniqueName="[Range].[MIDDLENAME].[All]" dimensionUniqueName="[Range]" displayFolder="" count="0" memberValueDatatype="130" unbalanced="0"/>
    <cacheHierarchy uniqueName="[Range].[LASTNAME]" caption="LASTNAME" attribute="1" defaultMemberUniqueName="[Range].[LASTNAME].[All]" allUniqueName="[Range].[LASTNAME].[All]" dimensionUniqueName="[Range]" displayFolder="" count="0" memberValueDatatype="130" unbalanced="0"/>
    <cacheHierarchy uniqueName="[Range].[BIRTHDATE]" caption="BIRTHDATE" attribute="1" time="1" defaultMemberUniqueName="[Range].[BIRTHDATE].[All]" allUniqueName="[Range].[BIRTHDATE].[All]" dimensionUniqueName="[Range]" displayFolder="" count="0" memberValueDatatype="7" unbalanced="0"/>
    <cacheHierarchy uniqueName="[Range].[ZODIAC]" caption="ZODIAC" attribute="1" defaultMemberUniqueName="[Range].[ZODIAC].[All]" allUniqueName="[Range].[ZODIAC].[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130" unbalanced="0"/>
    <cacheHierarchy uniqueName="[Range].[COUNTRY NAME]" caption="COUNTRY NAME" attribute="1" defaultMemberUniqueName="[Range].[COUNTRY NAME].[All]" allUniqueName="[Range].[COUNTRY NAME].[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Range].[WEIGHT]" caption="WEIGHT" attribute="1" defaultMemberUniqueName="[Range].[WEIGHT].[All]" allUniqueName="[Range].[WEIGHT].[All]" dimensionUniqueName="[Range]" displayFolder="" count="0" memberValueDatatype="5" unbalanced="0"/>
    <cacheHierarchy uniqueName="[Range].[EYECOLOR]" caption="EYECOLOR" attribute="1" defaultMemberUniqueName="[Range].[EYECOLOR].[All]" allUniqueName="[Range].[EYECOLOR].[All]" dimensionUniqueName="[Range]" displayFolder="" count="0" memberValueDatatype="130" unbalanced="0"/>
    <cacheHierarchy uniqueName="[Range].[BLOODTYPE]" caption="BLOODTYPE" attribute="1" defaultMemberUniqueName="[Range].[BLOODTYPE].[All]" allUniqueName="[Range].[BLOODTYPE].[All]" dimensionUniqueName="[Range]" displayFolder="" count="0" memberValueDatatype="130" unbalanced="0"/>
    <cacheHierarchy uniqueName="[Range].[SPORT LOCATION]" caption="SPORT LOCATION" attribute="1" defaultMemberUniqueName="[Range].[SPORT LOCATION].[All]" allUniqueName="[Range].[SPORT LOCATION].[All]" dimensionUniqueName="[Range]" displayFolder="" count="2" memberValueDatatype="130" unbalanced="0"/>
    <cacheHierarchy uniqueName="[Range].[SPORTS]" caption="SPORTS" attribute="1" defaultMemberUniqueName="[Range].[SPORTS].[All]" allUniqueName="[Range].[SPORTS].[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MEMBER ID]" caption="Sum of MEMBER ID" measure="1" displayFolder="" measureGroup="Range" count="0" hidden="1">
      <extLst>
        <ext xmlns:x15="http://schemas.microsoft.com/office/spreadsheetml/2010/11/main" uri="{B97F6D7D-B522-45F9-BDA1-12C45D357490}">
          <x15:cacheHierarchy aggregatedColumn="0"/>
        </ext>
      </extLst>
    </cacheHierarchy>
    <cacheHierarchy uniqueName="[Measures].[Count of MEMBER ID]" caption="Count of MEMBER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8310019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ANNIE  ABBOTT"/>
    <s v="Ms."/>
    <s v="Annie"/>
    <m/>
    <s v="Abbott"/>
    <d v="1997-09-26T00:00:00"/>
    <s v="Libra"/>
    <x v="0"/>
    <s v="US"/>
    <x v="0"/>
    <s v="English"/>
    <s v="Abbott.Annie@xyz.org"/>
    <n v="94"/>
    <s v="Green"/>
    <s v="A−"/>
    <s v="INDOOR"/>
    <s v="Cycling Track"/>
    <n v="80727"/>
  </r>
  <r>
    <n v="2"/>
    <s v="AURELIE  LIESUCHKE"/>
    <s v="Ms."/>
    <s v="Aurelie"/>
    <m/>
    <s v="Liesuchke"/>
    <d v="1992-02-07T00:00:00"/>
    <s v="Aquarius"/>
    <x v="0"/>
    <s v="US"/>
    <x v="0"/>
    <s v="English"/>
    <s v="Liesuchke.Aurelie@xyz.org"/>
    <n v="84.2"/>
    <s v="Brown"/>
    <s v="O−"/>
    <s v="INDOOR"/>
    <s v="Boxing"/>
    <n v="87471"/>
  </r>
  <r>
    <n v="3"/>
    <s v="TOMAS FERREIRA FILHO"/>
    <s v="Sr."/>
    <s v="Tomas"/>
    <s v="Ferreira"/>
    <s v="Filho"/>
    <d v="1969-07-10T00:00:00"/>
    <s v="Cancer"/>
    <x v="1"/>
    <s v="BR"/>
    <x v="1"/>
    <s v="Portuguese"/>
    <s v="Filho.Tomas@xyz.com"/>
    <n v="52.9"/>
    <s v="Amber"/>
    <s v="A−"/>
    <s v="OUTDOOR"/>
    <s v="Football"/>
    <n v="64724"/>
  </r>
  <r>
    <n v="4"/>
    <s v="DARBY  CRUICKSHANK"/>
    <s v="Ms."/>
    <s v="Darby"/>
    <m/>
    <s v="Cruickshank"/>
    <d v="1975-05-18T00:00:00"/>
    <s v="Taurus"/>
    <x v="0"/>
    <s v="US"/>
    <x v="0"/>
    <s v="English"/>
    <s v="Cruickshank.Darby@xyz.org"/>
    <n v="48.9"/>
    <s v="Green"/>
    <s v="O−"/>
    <s v="OUTDOOR"/>
    <s v="Alpine Skiing"/>
    <n v="110823"/>
  </r>
  <r>
    <n v="5"/>
    <s v="JAYDON  BORER"/>
    <s v="Dr."/>
    <s v="Jaydon"/>
    <m/>
    <s v="Borer"/>
    <d v="1970-05-18T00:00:00"/>
    <s v="Taurus"/>
    <x v="1"/>
    <s v="US"/>
    <x v="0"/>
    <s v="English"/>
    <s v="Borer.Jaydon@xyz.org"/>
    <n v="84.8"/>
    <s v="Blue"/>
    <s v="B−"/>
    <s v="INDOOR"/>
    <s v="Water Polo"/>
    <n v="56916"/>
  </r>
  <r>
    <n v="6"/>
    <s v="MORIAH   LYNCH"/>
    <s v="Mr."/>
    <s v="Moriah "/>
    <m/>
    <s v="Lynch"/>
    <d v="1992-12-06T00:00:00"/>
    <s v="Sagittarius"/>
    <x v="1"/>
    <s v="US"/>
    <x v="0"/>
    <s v="English"/>
    <s v="Lynch.Moriah @xyz.org"/>
    <n v="83.2"/>
    <s v="Blue"/>
    <s v="O−"/>
    <s v="INDOOR"/>
    <s v="Fencing"/>
    <n v="51133"/>
  </r>
  <r>
    <n v="7"/>
    <s v="AMIYA  EICHMANN"/>
    <s v="Ms."/>
    <s v="Amiya"/>
    <m/>
    <s v="Eichmann"/>
    <d v="1999-07-29T00:00:00"/>
    <s v="Leo"/>
    <x v="0"/>
    <s v="US"/>
    <x v="0"/>
    <s v="English"/>
    <s v="Eichmann.Amiya@xyz.org"/>
    <n v="61.1"/>
    <s v="Blue"/>
    <s v="B−"/>
    <s v="OUTDOOR"/>
    <s v="Cycling Road"/>
    <n v="65465"/>
  </r>
  <r>
    <n v="8"/>
    <s v="PIERCE  RAU"/>
    <s v="Mr."/>
    <s v="Pierce"/>
    <m/>
    <s v="Rau"/>
    <d v="1963-05-10T00:00:00"/>
    <s v="Taurus"/>
    <x v="1"/>
    <s v="US"/>
    <x v="0"/>
    <s v="English"/>
    <s v="Rau.Pierce@xyz.org"/>
    <n v="105.7"/>
    <s v="Amber"/>
    <s v="A+"/>
    <s v="INDOOR"/>
    <s v="Curling"/>
    <n v="109885"/>
  </r>
  <r>
    <n v="9"/>
    <s v="AMELIA  STEVENS"/>
    <s v="Ms."/>
    <s v="Amelia"/>
    <m/>
    <s v="Stevens"/>
    <d v="1971-02-01T00:00:00"/>
    <s v="Aquarius"/>
    <x v="0"/>
    <s v="GB"/>
    <x v="2"/>
    <s v="English"/>
    <s v="Stevens.Amelia@xyz.org"/>
    <n v="65.3"/>
    <s v="Blue"/>
    <s v="A+"/>
    <s v="INDOOR"/>
    <s v="Shooting"/>
    <n v="60061"/>
  </r>
  <r>
    <n v="10"/>
    <s v="TOBY  SIMPSON"/>
    <s v="Mr."/>
    <s v="Toby"/>
    <m/>
    <s v="Simpson"/>
    <d v="1964-12-21T00:00:00"/>
    <s v="Sagittarius"/>
    <x v="1"/>
    <s v="GB"/>
    <x v="2"/>
    <s v="English"/>
    <s v="Simpson.Toby@xyz.org"/>
    <n v="62.9"/>
    <s v="Amber"/>
    <s v="O+"/>
    <s v="OUTDOOR"/>
    <s v="Cycling Road"/>
    <n v="32758"/>
  </r>
  <r>
    <n v="11"/>
    <s v="ETHAN  MURPHY"/>
    <s v="Sir"/>
    <s v="Ethan"/>
    <m/>
    <s v="Murphy"/>
    <d v="1986-11-17T00:00:00"/>
    <s v="Scorpio"/>
    <x v="1"/>
    <s v="GB"/>
    <x v="2"/>
    <s v="English"/>
    <s v="Murphy.Ethan@xyz.org"/>
    <n v="104.3"/>
    <s v="Brown"/>
    <s v="O+"/>
    <s v="OUTDOOR"/>
    <s v="Freestyle Skiing"/>
    <n v="99613"/>
  </r>
  <r>
    <n v="12"/>
    <s v="ASHLEY  WOOD"/>
    <s v="Mrs."/>
    <s v="Ashley"/>
    <m/>
    <s v="Wood"/>
    <d v="1977-10-14T00:00:00"/>
    <s v="Libra"/>
    <x v="0"/>
    <s v="GB"/>
    <x v="2"/>
    <s v="English"/>
    <s v="Wood.Ashley@xyz.org"/>
    <n v="100.7"/>
    <s v="Brown"/>
    <s v="O+"/>
    <s v="OUTDOOR"/>
    <s v="Archery"/>
    <n v="56595"/>
  </r>
  <r>
    <n v="13"/>
    <s v="MEGAN  SCOTT"/>
    <s v="Ms."/>
    <s v="Megan"/>
    <m/>
    <s v="Scott"/>
    <d v="1977-02-12T00:00:00"/>
    <s v="Aquarius"/>
    <x v="0"/>
    <s v="GB"/>
    <x v="2"/>
    <s v="English"/>
    <s v="Scott.Megan@xyz.org"/>
    <n v="70.900000000000006"/>
    <s v="Green"/>
    <s v="A−"/>
    <s v="OUTDOOR"/>
    <s v="Rugby"/>
    <n v="117408"/>
  </r>
  <r>
    <n v="14"/>
    <s v="HELMUT  WEINHAE"/>
    <s v="Hr."/>
    <s v="Helmut"/>
    <m/>
    <s v="Weinhae"/>
    <d v="1959-08-26T00:00:00"/>
    <s v="Virgo"/>
    <x v="1"/>
    <s v="DE"/>
    <x v="3"/>
    <s v="German"/>
    <s v="Weinhae.Helmut@xyz.com"/>
    <n v="68.3"/>
    <s v="Gray"/>
    <s v="A+"/>
    <s v="OUTDOOR"/>
    <s v="Canoe Sprint"/>
    <n v="64862"/>
  </r>
  <r>
    <n v="15"/>
    <s v="MILENA  SCHOTIN"/>
    <s v="Prof."/>
    <s v="Milena"/>
    <m/>
    <s v="Schotin"/>
    <d v="1965-03-03T00:00:00"/>
    <s v="Pisces"/>
    <x v="0"/>
    <s v="DE"/>
    <x v="3"/>
    <s v="German"/>
    <s v="Schotin.Milena@xyz.com"/>
    <n v="105.3"/>
    <s v="Gray"/>
    <s v="O+"/>
    <s v="INDOOR"/>
    <s v="Cycling BMX"/>
    <n v="10241"/>
  </r>
  <r>
    <n v="16"/>
    <s v="LOTHAR  BIRNBAUM"/>
    <s v="Hr."/>
    <s v="Lothar"/>
    <m/>
    <s v="Birnbaum"/>
    <d v="1969-07-21T00:00:00"/>
    <s v="Cancer"/>
    <x v="1"/>
    <s v="DE"/>
    <x v="3"/>
    <s v="German"/>
    <s v="Birnbaum.Lothar@xyz.com"/>
    <n v="48.6"/>
    <s v="Blue"/>
    <s v="O+"/>
    <s v="OUTDOOR"/>
    <s v="Alpine Skiing"/>
    <n v="88762"/>
  </r>
  <r>
    <n v="17"/>
    <s v="PIETRO  STOLZE"/>
    <s v="Hr."/>
    <s v="Pietro"/>
    <m/>
    <s v="Stolze"/>
    <d v="1972-10-10T00:00:00"/>
    <s v="Libra"/>
    <x v="1"/>
    <s v="DE"/>
    <x v="3"/>
    <s v="German"/>
    <s v="Stolze.Pietro@xyz.com"/>
    <n v="105.9"/>
    <s v="Blue"/>
    <s v="A−"/>
    <s v="INDOOR"/>
    <s v="Handball"/>
    <n v="80757"/>
  </r>
  <r>
    <n v="18"/>
    <s v="RICHARD   TLUSTEK"/>
    <s v="Hr."/>
    <s v="Richard "/>
    <m/>
    <s v="Tlustek"/>
    <d v="1959-08-31T00:00:00"/>
    <s v="Virgo"/>
    <x v="1"/>
    <s v="DE"/>
    <x v="3"/>
    <s v="German"/>
    <s v="Tlustek.Richard @xyz.com"/>
    <n v="71.099999999999994"/>
    <s v="Blue"/>
    <s v="A−"/>
    <s v="OUTDOOR"/>
    <s v="Cycling Mountain Bike"/>
    <n v="88794"/>
  </r>
  <r>
    <n v="19"/>
    <s v="EARNESTINE  RAYNOR"/>
    <s v="Dr."/>
    <s v="Earnestine"/>
    <m/>
    <s v="Raynor"/>
    <d v="1977-05-17T00:00:00"/>
    <s v="Taurus"/>
    <x v="0"/>
    <s v="OZ"/>
    <x v="4"/>
    <s v="English"/>
    <s v="Raynor.Earnestine@xyz.org"/>
    <n v="70.3"/>
    <s v="Blue"/>
    <s v="A+"/>
    <s v="INDOOR"/>
    <s v="Short Track Speed Skating"/>
    <n v="63526"/>
  </r>
  <r>
    <n v="20"/>
    <s v="JASON  GAYLORD"/>
    <s v="Mr."/>
    <s v="Jason"/>
    <m/>
    <s v="Gaylord"/>
    <d v="1976-01-08T00:00:00"/>
    <s v="Capricorn"/>
    <x v="1"/>
    <s v="OZ"/>
    <x v="4"/>
    <s v="English"/>
    <s v="Gaylord.Jason@xyz.org"/>
    <n v="54.7"/>
    <s v="Brown"/>
    <s v="O−"/>
    <s v="INDOOR"/>
    <s v="Basketball"/>
    <n v="46352"/>
  </r>
  <r>
    <n v="21"/>
    <s v="KENDRICK  SAUER"/>
    <s v="Mr."/>
    <s v="Kendrick"/>
    <m/>
    <s v="Sauer"/>
    <d v="1996-07-22T00:00:00"/>
    <s v="Cancer"/>
    <x v="1"/>
    <s v="OZ"/>
    <x v="4"/>
    <s v="English"/>
    <s v="Sauer.Kendrick@xyz.org"/>
    <n v="100.9"/>
    <s v="Blue"/>
    <s v="B−"/>
    <s v="OUTDOOR"/>
    <s v="Triathlon"/>
    <n v="106808"/>
  </r>
  <r>
    <n v="22"/>
    <s v="ANNABELL  OLSON"/>
    <s v="Dr."/>
    <s v="Annabell"/>
    <m/>
    <s v="Olson"/>
    <d v="1964-04-16T00:00:00"/>
    <s v="Aries"/>
    <x v="0"/>
    <s v="OZ"/>
    <x v="4"/>
    <s v="English"/>
    <s v="Olson.Annabell@xyz.org"/>
    <n v="84.3"/>
    <s v="Green"/>
    <s v="A+"/>
    <s v="OUTDOOR"/>
    <s v="Equestrian / Dressage"/>
    <n v="96468"/>
  </r>
  <r>
    <n v="23"/>
    <s v="JENA  UPTON"/>
    <s v="Dr."/>
    <s v="Jena"/>
    <m/>
    <s v="Upton"/>
    <d v="1955-12-14T00:00:00"/>
    <s v="Sagittarius"/>
    <x v="0"/>
    <s v="OZ"/>
    <x v="4"/>
    <s v="English"/>
    <s v="Upton.Jena@xyz.org"/>
    <n v="66.8"/>
    <s v="Blue"/>
    <s v="O+"/>
    <s v="OUTDOOR"/>
    <s v="Beach Volleyball"/>
    <n v="16526"/>
  </r>
  <r>
    <n v="24"/>
    <s v="SHANNY  BINS"/>
    <s v="Dr."/>
    <s v="Shanny"/>
    <m/>
    <s v="Bins"/>
    <d v="1999-08-28T00:00:00"/>
    <s v="Virgo"/>
    <x v="0"/>
    <s v="OZ"/>
    <x v="4"/>
    <s v="English"/>
    <s v="Bins.Shanny@xyz.org"/>
    <n v="59.4"/>
    <s v="Amber"/>
    <s v="B−"/>
    <s v="OUTDOOR"/>
    <s v="Canoe Slalom"/>
    <n v="21891"/>
  </r>
  <r>
    <n v="25"/>
    <s v="TIA  ABSHIRE"/>
    <s v="Dr."/>
    <s v="Tia"/>
    <m/>
    <s v="Abshire"/>
    <d v="1966-07-21T00:00:00"/>
    <s v="Cancer"/>
    <x v="0"/>
    <s v="OZ"/>
    <x v="4"/>
    <s v="English"/>
    <s v="Abshire.Tia@xyz.org"/>
    <n v="77.8"/>
    <s v="Amber"/>
    <s v="A+"/>
    <s v="OUTDOOR"/>
    <s v="Cycling Road"/>
    <n v="62037"/>
  </r>
  <r>
    <n v="26"/>
    <s v="ISABEL  RUNOLFSDOTTIR"/>
    <s v="Ms."/>
    <s v="Isabel"/>
    <m/>
    <s v="Runolfsdottir"/>
    <d v="1978-03-21T00:00:00"/>
    <s v="Aries"/>
    <x v="0"/>
    <s v="OZ"/>
    <x v="4"/>
    <s v="English"/>
    <s v="Runolfsdottir.Isabel@xyz.org"/>
    <n v="85.9"/>
    <s v="Blue"/>
    <s v="B+"/>
    <s v="INDOOR"/>
    <s v="Cycling Track"/>
    <n v="89737"/>
  </r>
  <r>
    <n v="27"/>
    <s v="BARNEY  WESACK"/>
    <s v="Hr."/>
    <s v="Barney"/>
    <m/>
    <s v="Wesack"/>
    <d v="1970-07-18T00:00:00"/>
    <s v="Cancer"/>
    <x v="1"/>
    <s v="AU"/>
    <x v="5"/>
    <s v="German"/>
    <s v="Wesack.Barney@xyz.com"/>
    <n v="93.4"/>
    <s v="Amber"/>
    <s v="B+"/>
    <s v="INDOOR"/>
    <s v="Volleyball"/>
    <n v="41039"/>
  </r>
  <r>
    <n v="28"/>
    <s v="BARUCH  KADE"/>
    <s v="Hr."/>
    <s v="Baruch"/>
    <m/>
    <s v="Kade"/>
    <d v="1982-03-10T00:00:00"/>
    <s v="Pisces"/>
    <x v="1"/>
    <s v="AU"/>
    <x v="5"/>
    <s v="German"/>
    <s v="Kade.Baruch@xyz.com"/>
    <n v="95.5"/>
    <s v="Gray"/>
    <s v="O−"/>
    <s v="OUTDOOR"/>
    <s v="Rugby"/>
    <n v="28458"/>
  </r>
  <r>
    <n v="29"/>
    <s v="LIESBETH  ROSEMANN"/>
    <s v="Prof."/>
    <s v="Liesbeth"/>
    <m/>
    <s v="Rosemann"/>
    <d v="1994-01-27T00:00:00"/>
    <s v="Aquarius"/>
    <x v="0"/>
    <s v="AU"/>
    <x v="5"/>
    <s v="German"/>
    <s v="Rosemann.Liesbeth@xyz.com"/>
    <n v="52.2"/>
    <s v="Blue"/>
    <s v="O+"/>
    <s v="OUTDOOR"/>
    <s v="Cycling Road"/>
    <n v="55007"/>
  </r>
  <r>
    <n v="30"/>
    <s v="VALENTINE  MOREAU"/>
    <s v="Mme."/>
    <s v="Valentine"/>
    <m/>
    <s v="Moreau"/>
    <d v="1979-10-09T00:00:00"/>
    <s v="Libra"/>
    <x v="0"/>
    <s v="FR"/>
    <x v="6"/>
    <s v="French"/>
    <s v="Moreau.Valentine@xyz.com"/>
    <n v="74.599999999999994"/>
    <s v="Blue"/>
    <s v="B+"/>
    <s v="OUTDOOR"/>
    <s v="Golf"/>
    <n v="69041"/>
  </r>
  <r>
    <n v="31"/>
    <s v="PAULETTE  DURAND"/>
    <s v="Mme."/>
    <s v="Paulette"/>
    <m/>
    <s v="Durand"/>
    <d v="1989-12-25T00:00:00"/>
    <s v="Capricorn"/>
    <x v="0"/>
    <s v="FR"/>
    <x v="6"/>
    <s v="French"/>
    <s v="Durand.Paulette@xyz.com"/>
    <n v="81.7"/>
    <s v="Amber"/>
    <s v="O−"/>
    <s v="INDOOR"/>
    <s v="Volleyball"/>
    <n v="86262"/>
  </r>
  <r>
    <n v="32"/>
    <s v="LAURE-ALIX  CHEVALIER"/>
    <s v="Mme."/>
    <s v="Laure-Alix"/>
    <m/>
    <s v="Chevalier"/>
    <d v="1970-12-23T00:00:00"/>
    <s v="Capricorn"/>
    <x v="0"/>
    <s v="FR"/>
    <x v="6"/>
    <s v="French"/>
    <s v="Chevalier.Laure-Alix@xyz.com"/>
    <n v="78.099999999999994"/>
    <s v="Blue"/>
    <s v="O+"/>
    <s v="OUTDOOR"/>
    <s v="Beach Volleyball"/>
    <n v="19234"/>
  </r>
  <r>
    <n v="33"/>
    <s v="CLAUDE  TOUSSAINT"/>
    <s v="M."/>
    <s v="Claude"/>
    <m/>
    <s v="Toussaint"/>
    <d v="1980-11-04T00:00:00"/>
    <s v="Scorpio"/>
    <x v="1"/>
    <s v="FR"/>
    <x v="6"/>
    <s v="French"/>
    <s v="Toussaint.Claude@xyz.com"/>
    <n v="57.1"/>
    <s v="Green"/>
    <s v="O+"/>
    <s v="INDOOR"/>
    <s v="Diving"/>
    <n v="95123"/>
  </r>
  <r>
    <n v="34"/>
    <s v="VICTOR  LENOIR"/>
    <s v="M."/>
    <s v="Victor"/>
    <m/>
    <s v="Lenoir"/>
    <d v="1981-10-16T00:00:00"/>
    <s v="Libra"/>
    <x v="1"/>
    <s v="FR"/>
    <x v="6"/>
    <s v="French"/>
    <s v="Lenoir.Victor@xyz.com"/>
    <n v="56"/>
    <s v="Blue"/>
    <s v="B+"/>
    <s v="OUTDOOR"/>
    <s v="Triathlon"/>
    <n v="62761"/>
  </r>
  <r>
    <n v="35"/>
    <s v="ARTHUR  LENOIR"/>
    <s v="M."/>
    <s v="Arthur"/>
    <m/>
    <s v="Lenoir"/>
    <d v="1955-07-30T00:00:00"/>
    <s v="Leo"/>
    <x v="1"/>
    <s v="FR"/>
    <x v="6"/>
    <s v="French"/>
    <s v="Lenoir.Arthur@xyz.com"/>
    <n v="88.6"/>
    <s v="Amber"/>
    <s v="O+"/>
    <s v="OUTDOOR"/>
    <s v="Hockey"/>
    <n v="108431"/>
  </r>
  <r>
    <n v="36"/>
    <s v="BENJAMIN  LEBRUN-BRUN"/>
    <s v="M."/>
    <s v="Benjamin"/>
    <m/>
    <s v="Lebrun-Brun"/>
    <d v="1975-02-03T00:00:00"/>
    <s v="Aquarius"/>
    <x v="1"/>
    <s v="FR"/>
    <x v="6"/>
    <s v="French"/>
    <s v="Lebrun-Brun.Benjamin@xyz.com"/>
    <n v="78.2"/>
    <s v="Brown"/>
    <s v="O−"/>
    <s v="OUTDOOR"/>
    <s v="Triathlon"/>
    <n v="66268"/>
  </r>
  <r>
    <n v="37"/>
    <s v="ANTOINE  MAILLARD"/>
    <s v="M."/>
    <s v="Antoine"/>
    <m/>
    <s v="Maillard"/>
    <d v="1986-06-22T00:00:00"/>
    <s v="Cancer"/>
    <x v="1"/>
    <s v="FR"/>
    <x v="6"/>
    <s v="French"/>
    <s v="Maillard.Antoine@xyz.com"/>
    <n v="95.8"/>
    <s v="Blue"/>
    <s v="B−"/>
    <s v="OUTDOOR"/>
    <s v="Sailing"/>
    <n v="33970"/>
  </r>
  <r>
    <n v="38"/>
    <s v="BERNARD  HOARAU-GUYON"/>
    <s v="M."/>
    <s v="Bernard"/>
    <m/>
    <s v="Hoarau-Guyon"/>
    <d v="1983-01-11T00:00:00"/>
    <s v="Capricorn"/>
    <x v="1"/>
    <s v="FR"/>
    <x v="6"/>
    <s v="French"/>
    <s v="Hoarau-Guyon.Bernard@xyz.com"/>
    <n v="59.7"/>
    <s v="Gray"/>
    <s v="O−"/>
    <s v="INDOOR"/>
    <s v="Cycling Track"/>
    <n v="71352"/>
  </r>
  <r>
    <n v="39"/>
    <s v="HIDALGO CANTU TERCERO"/>
    <s v="Sr."/>
    <s v="Hidalgo"/>
    <s v="Cantu"/>
    <s v="Tercero"/>
    <d v="1984-11-30T00:00:00"/>
    <s v="Sagittarius"/>
    <x v="1"/>
    <s v="AG"/>
    <x v="7"/>
    <s v="Spanish"/>
    <s v="Tercero.Hidalgo@xyz.com"/>
    <n v="77.7"/>
    <s v="Gray"/>
    <s v="B−"/>
    <s v="OUTDOOR"/>
    <s v="Canoe Slalom"/>
    <n v="116376"/>
  </r>
  <r>
    <n v="40"/>
    <s v="HADALGO  POLANCO"/>
    <s v="Sr."/>
    <s v="Hadalgo"/>
    <m/>
    <s v="Polanco"/>
    <d v="1988-06-20T00:00:00"/>
    <s v="Gemini"/>
    <x v="1"/>
    <s v="AG"/>
    <x v="7"/>
    <s v="Spanish"/>
    <s v="Polanco.Hadalgo@xyz.com"/>
    <n v="98"/>
    <s v="Blue"/>
    <s v="A−"/>
    <s v="OUTDOOR"/>
    <s v="Beach Volleyball"/>
    <n v="114144"/>
  </r>
  <r>
    <n v="41"/>
    <s v="LAURA  OLIVIERA"/>
    <s v="Sra."/>
    <s v="Laura"/>
    <m/>
    <s v="Oliviera"/>
    <d v="1974-02-16T00:00:00"/>
    <s v="Aquarius"/>
    <x v="0"/>
    <s v="AG"/>
    <x v="7"/>
    <s v="Spanish"/>
    <s v="Oliviera.Laura@xyz.com"/>
    <n v="51.9"/>
    <s v="Amber"/>
    <s v="O−"/>
    <s v="OUTDOOR"/>
    <s v="Athletics"/>
    <n v="79872"/>
  </r>
  <r>
    <n v="42"/>
    <s v="AINHOA  GARZA"/>
    <s v="Sra."/>
    <s v="Ainhoa"/>
    <m/>
    <s v="Garza"/>
    <d v="1990-03-09T00:00:00"/>
    <s v="Pisces"/>
    <x v="0"/>
    <s v="ES"/>
    <x v="8"/>
    <s v="Spanish"/>
    <s v="Garza.Ainhoa@xyz.com"/>
    <n v="55.6"/>
    <s v="Brown"/>
    <s v="O+"/>
    <s v="INDOOR"/>
    <s v="Gymnastics Artistic"/>
    <n v="101969"/>
  </r>
  <r>
    <n v="43"/>
    <s v="ISABEL  BANDA"/>
    <s v="Sra."/>
    <s v="Isabel"/>
    <m/>
    <s v="Banda"/>
    <d v="1960-01-12T00:00:00"/>
    <s v="Capricorn"/>
    <x v="0"/>
    <s v="ES"/>
    <x v="8"/>
    <s v="Spanish"/>
    <s v="Banda.Isabel@xyz.com"/>
    <n v="102.3"/>
    <s v="Amber"/>
    <s v="O+"/>
    <s v="OUTDOOR"/>
    <s v="Canoe Slalom"/>
    <n v="50659"/>
  </r>
  <r>
    <n v="44"/>
    <s v="CAROLOTA  MATEOS"/>
    <s v="Sra."/>
    <s v="Carolota"/>
    <m/>
    <s v="Mateos"/>
    <d v="1965-07-29T00:00:00"/>
    <s v="Leo"/>
    <x v="0"/>
    <s v="ES"/>
    <x v="8"/>
    <s v="Spanish"/>
    <s v="Mateos.Carolota@xyz.com"/>
    <n v="58.8"/>
    <s v="Gray"/>
    <s v="O−"/>
    <s v="OUTDOOR"/>
    <s v="Athletics"/>
    <n v="58215"/>
  </r>
  <r>
    <n v="45"/>
    <s v="ELIZE  PRINS"/>
    <s v="Mw."/>
    <s v="Elize"/>
    <m/>
    <s v="Prins"/>
    <d v="1960-05-08T00:00:00"/>
    <s v="Taurus"/>
    <x v="0"/>
    <s v="DU"/>
    <x v="9"/>
    <s v="Dutch"/>
    <s v="Prins.Elize@xyz.com"/>
    <n v="63.8"/>
    <s v="Blue"/>
    <s v="O+"/>
    <s v="INDOOR"/>
    <s v="Judo"/>
    <n v="39935"/>
  </r>
  <r>
    <n v="46"/>
    <s v="RYAN  PHAM"/>
    <s v="dhr."/>
    <s v="Ryan"/>
    <m/>
    <s v="Pham"/>
    <d v="1973-10-03T00:00:00"/>
    <s v="Libra"/>
    <x v="1"/>
    <s v="DU"/>
    <x v="9"/>
    <s v="Dutch"/>
    <s v="Pham.Ryan@xyz.com"/>
    <n v="98.6"/>
    <s v="Amber"/>
    <s v="B+"/>
    <s v="OUTDOOR"/>
    <s v="Beach Volleyball"/>
    <n v="44865"/>
  </r>
  <r>
    <n v="47"/>
    <s v="ELISE  ROTTEVEEL"/>
    <s v="Mw"/>
    <s v="Elise"/>
    <m/>
    <s v="Rotteveel"/>
    <d v="1968-04-08T00:00:00"/>
    <s v="Aries"/>
    <x v="0"/>
    <s v="DU"/>
    <x v="9"/>
    <s v="Dutch"/>
    <s v="Rotteveel.Elise@xyz.com"/>
    <n v="61.8"/>
    <s v="Gray"/>
    <s v="O−"/>
    <s v="OUTDOOR"/>
    <s v="Beach Volleyball"/>
    <n v="90478"/>
  </r>
  <r>
    <n v="48"/>
    <s v="MIRJAM  SODERBERG"/>
    <s v="Fru."/>
    <s v="Mirjam"/>
    <m/>
    <s v="Soderberg"/>
    <d v="1997-05-17T00:00:00"/>
    <s v="Taurus"/>
    <x v="0"/>
    <s v="SV"/>
    <x v="10"/>
    <s v="Swedish"/>
    <s v="Soderberg.Mirjam@xyz.com"/>
    <n v="50"/>
    <s v="Amber"/>
    <s v="O+"/>
    <s v="OUTDOOR"/>
    <s v="Football"/>
    <n v="38965"/>
  </r>
  <r>
    <n v="49"/>
    <s v="BERNDT  PALSSON"/>
    <s v="H."/>
    <s v="Berndt"/>
    <m/>
    <s v="Palsson"/>
    <d v="1987-02-24T00:00:00"/>
    <s v="Pisces"/>
    <x v="1"/>
    <s v="SV"/>
    <x v="10"/>
    <s v="Swedish"/>
    <s v="Palsson.Berndt@xyz.com"/>
    <n v="45.9"/>
    <s v="Blue"/>
    <s v="A−"/>
    <s v="OUTDOOR"/>
    <s v="Biathlon"/>
    <n v="35387"/>
  </r>
  <r>
    <n v="50"/>
    <s v="ADRIANO PONTES SOBRINHO"/>
    <s v="Sr."/>
    <s v="Adriano"/>
    <s v="Pontes"/>
    <s v="Sobrinho"/>
    <d v="1993-07-28T00:00:00"/>
    <s v="Leo"/>
    <x v="1"/>
    <s v="PR"/>
    <x v="1"/>
    <s v="Portuguese"/>
    <s v="Sobrinho.Adriano@xyz.com"/>
    <n v="92.5"/>
    <s v="Green"/>
    <s v="A+"/>
    <s v="INDOOR"/>
    <s v="Swimming"/>
    <n v="205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E072D7-01FF-4BFB-BFE8-5F5E54BCFBF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ies" colHeaderCaption="Genders">
  <location ref="B4:D16" firstHeaderRow="1" firstDataRow="2" firstDataCol="1"/>
  <pivotFields count="19">
    <pivotField dataField="1" numFmtId="165" showAll="0"/>
    <pivotField showAll="0"/>
    <pivotField showAll="0"/>
    <pivotField showAll="0"/>
    <pivotField showAll="0"/>
    <pivotField showAll="0"/>
    <pivotField numFmtId="166" showAll="0"/>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7" showAll="0"/>
    <pivotField showAll="0"/>
    <pivotField showAll="0"/>
    <pivotField showAll="0"/>
    <pivotField showAll="0"/>
    <pivotField numFmtId="168" showAll="0"/>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No. Of Players" fld="0" subtotal="count" baseField="10" baseItem="1"/>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009C87-27F8-4A50-A79A-94B116DF259D}" name="PivotTable2" cacheId="74" applyNumberFormats="0" applyBorderFormats="0" applyFontFormats="0" applyPatternFormats="0" applyAlignmentFormats="0" applyWidthHeightFormats="1" dataCaption="Values" updatedVersion="8" minRefreshableVersion="3" showDrill="0" useAutoFormatting="1" subtotalHiddenItems="1" rowGrandTotals="0" colGrandTotals="0" itemPrintTitles="1" createdVersion="8" indent="0" compact="0" compactData="0" multipleFieldFilters="0" rowHeaderCaption="Countries" colHeaderCaption="Genders">
  <location ref="B3:E53" firstHeaderRow="1" firstDataRow="1" firstDataCol="4"/>
  <pivotFields count="5">
    <pivotField axis="axisRow" compact="0" allDrilled="1" outline="0"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allDrilled="1" outline="0"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compact="0" allDrilled="1" outline="0" subtotalTop="0" showAll="0" dataSourceSort="1" defaultSubtotal="0" defaultAttributeDrillState="1"/>
  </pivotFields>
  <rowFields count="4">
    <field x="0"/>
    <field x="1"/>
    <field x="3"/>
    <field x="2"/>
  </rowFields>
  <rowItems count="50">
    <i>
      <x/>
      <x/>
      <x/>
      <x/>
    </i>
    <i>
      <x v="1"/>
      <x v="1"/>
      <x v="1"/>
      <x/>
    </i>
    <i>
      <x v="2"/>
      <x v="2"/>
      <x v="2"/>
      <x v="1"/>
    </i>
    <i>
      <x v="3"/>
      <x v="3"/>
      <x v="3"/>
      <x/>
    </i>
    <i>
      <x v="4"/>
      <x v="4"/>
      <x v="4"/>
      <x v="1"/>
    </i>
    <i>
      <x v="5"/>
      <x v="5"/>
      <x v="5"/>
      <x v="1"/>
    </i>
    <i>
      <x v="6"/>
      <x v="6"/>
      <x v="6"/>
      <x/>
    </i>
    <i>
      <x v="7"/>
      <x v="7"/>
      <x v="7"/>
      <x v="1"/>
    </i>
    <i>
      <x v="8"/>
      <x v="8"/>
      <x v="8"/>
      <x/>
    </i>
    <i>
      <x v="9"/>
      <x v="9"/>
      <x v="9"/>
      <x v="1"/>
    </i>
    <i>
      <x v="10"/>
      <x v="10"/>
      <x v="10"/>
      <x v="1"/>
    </i>
    <i>
      <x v="11"/>
      <x v="11"/>
      <x v="11"/>
      <x/>
    </i>
    <i>
      <x v="12"/>
      <x v="12"/>
      <x v="12"/>
      <x/>
    </i>
    <i>
      <x v="13"/>
      <x v="13"/>
      <x v="13"/>
      <x v="1"/>
    </i>
    <i>
      <x v="14"/>
      <x v="14"/>
      <x v="14"/>
      <x/>
    </i>
    <i>
      <x v="15"/>
      <x v="15"/>
      <x v="15"/>
      <x v="1"/>
    </i>
    <i>
      <x v="16"/>
      <x v="16"/>
      <x v="16"/>
      <x v="1"/>
    </i>
    <i>
      <x v="17"/>
      <x v="17"/>
      <x v="17"/>
      <x v="1"/>
    </i>
    <i>
      <x v="18"/>
      <x v="18"/>
      <x v="18"/>
      <x/>
    </i>
    <i>
      <x v="19"/>
      <x v="19"/>
      <x v="19"/>
      <x v="1"/>
    </i>
    <i>
      <x v="20"/>
      <x v="20"/>
      <x v="20"/>
      <x v="1"/>
    </i>
    <i>
      <x v="21"/>
      <x v="21"/>
      <x v="21"/>
      <x/>
    </i>
    <i>
      <x v="22"/>
      <x v="22"/>
      <x v="22"/>
      <x/>
    </i>
    <i>
      <x v="23"/>
      <x v="23"/>
      <x v="23"/>
      <x/>
    </i>
    <i>
      <x v="24"/>
      <x v="24"/>
      <x v="24"/>
      <x/>
    </i>
    <i>
      <x v="25"/>
      <x v="25"/>
      <x v="25"/>
      <x/>
    </i>
    <i>
      <x v="26"/>
      <x v="26"/>
      <x v="26"/>
      <x v="1"/>
    </i>
    <i>
      <x v="27"/>
      <x v="27"/>
      <x v="27"/>
      <x v="1"/>
    </i>
    <i>
      <x v="28"/>
      <x v="28"/>
      <x v="28"/>
      <x/>
    </i>
    <i>
      <x v="29"/>
      <x v="29"/>
      <x v="29"/>
      <x/>
    </i>
    <i>
      <x v="30"/>
      <x v="30"/>
      <x v="30"/>
      <x/>
    </i>
    <i>
      <x v="31"/>
      <x v="31"/>
      <x v="31"/>
      <x/>
    </i>
    <i>
      <x v="32"/>
      <x v="32"/>
      <x v="32"/>
      <x v="1"/>
    </i>
    <i>
      <x v="33"/>
      <x v="33"/>
      <x v="33"/>
      <x v="1"/>
    </i>
    <i>
      <x v="34"/>
      <x v="34"/>
      <x v="34"/>
      <x v="1"/>
    </i>
    <i>
      <x v="35"/>
      <x v="35"/>
      <x v="35"/>
      <x v="1"/>
    </i>
    <i>
      <x v="36"/>
      <x v="36"/>
      <x v="36"/>
      <x v="1"/>
    </i>
    <i>
      <x v="37"/>
      <x v="37"/>
      <x v="37"/>
      <x v="1"/>
    </i>
    <i>
      <x v="38"/>
      <x v="38"/>
      <x v="38"/>
      <x v="1"/>
    </i>
    <i>
      <x v="39"/>
      <x v="39"/>
      <x v="39"/>
      <x v="1"/>
    </i>
    <i>
      <x v="40"/>
      <x v="40"/>
      <x v="40"/>
      <x/>
    </i>
    <i>
      <x v="41"/>
      <x v="41"/>
      <x v="41"/>
      <x/>
    </i>
    <i>
      <x v="42"/>
      <x v="42"/>
      <x v="42"/>
      <x/>
    </i>
    <i>
      <x v="43"/>
      <x v="43"/>
      <x v="43"/>
      <x/>
    </i>
    <i>
      <x v="44"/>
      <x v="44"/>
      <x v="44"/>
      <x/>
    </i>
    <i>
      <x v="45"/>
      <x v="45"/>
      <x v="45"/>
      <x v="1"/>
    </i>
    <i>
      <x v="46"/>
      <x v="46"/>
      <x v="46"/>
      <x/>
    </i>
    <i>
      <x v="47"/>
      <x v="47"/>
      <x v="47"/>
      <x/>
    </i>
    <i>
      <x v="48"/>
      <x v="48"/>
      <x v="48"/>
      <x v="1"/>
    </i>
    <i>
      <x v="49"/>
      <x v="49"/>
      <x v="49"/>
      <x v="1"/>
    </i>
  </rowItem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No. Of Players"/>
  </pivotHierarchies>
  <pivotTableStyleInfo name="PivotStyleDark12" showRowHeaders="1" showColHeaders="1" showRowStripes="0" showColStripes="0" showLastColumn="1"/>
  <rowHierarchiesUsage count="4">
    <rowHierarchyUsage hierarchyUsage="0"/>
    <rowHierarchyUsage hierarchyUsage="1"/>
    <rowHierarchyUsage hierarchyUsage="12"/>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PORTSMEN!$A$1:$S$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RT_LOCATION" xr10:uid="{266E5D44-15F0-4985-80B7-9DAF8CEF7B81}" sourceName="[Range].[SPORT LOCATION]">
  <pivotTables>
    <pivotTable tabId="11" name="PivotTable2"/>
  </pivotTables>
  <data>
    <olap pivotCacheId="83100196">
      <levels count="2">
        <level uniqueName="[Range].[SPORT LOCATION].[(All)]" sourceCaption="(All)" count="0"/>
        <level uniqueName="[Range].[SPORT LOCATION].[SPORT LOCATION]" sourceCaption="SPORT LOCATION" count="2">
          <ranges>
            <range startItem="0">
              <i n="[Range].[SPORT LOCATION].&amp;[INDOOR]" c="INDOOR"/>
              <i n="[Range].[SPORT LOCATION].&amp;[OUTDOOR]" c="OUTDOOR"/>
            </range>
          </ranges>
        </level>
      </levels>
      <selections count="1">
        <selection n="[Range].[SPORT 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ORT LOCATION" xr10:uid="{6E39893B-BC89-465A-A9FD-35E140B15067}" cache="Slicer_SPORT_LOCATION" caption="SPORT LOCATION" level="1" style="SlicerStyleLight4"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1" t="s">
        <v>252</v>
      </c>
      <c r="C2" s="42"/>
      <c r="D2" s="43"/>
      <c r="E2" s="47" t="s">
        <v>232</v>
      </c>
    </row>
    <row r="3" spans="2:5" ht="42" customHeight="1" thickBot="1" x14ac:dyDescent="0.35">
      <c r="B3" s="44"/>
      <c r="C3" s="45"/>
      <c r="D3" s="46"/>
      <c r="E3" s="48"/>
    </row>
    <row r="4" spans="2:5" ht="8.25" customHeight="1" x14ac:dyDescent="0.3"/>
    <row r="5" spans="2:5" ht="19.5" customHeight="1" thickBot="1" x14ac:dyDescent="0.35">
      <c r="C5" s="8" t="s">
        <v>226</v>
      </c>
      <c r="D5" s="8" t="s">
        <v>223</v>
      </c>
      <c r="E5" s="9" t="s">
        <v>224</v>
      </c>
    </row>
    <row r="6" spans="2:5" ht="19.5" customHeight="1" thickBot="1" x14ac:dyDescent="0.35">
      <c r="B6" s="19" t="s">
        <v>135</v>
      </c>
      <c r="C6" s="39" t="s">
        <v>225</v>
      </c>
      <c r="D6" s="39"/>
      <c r="E6" s="40"/>
    </row>
    <row r="7" spans="2:5" x14ac:dyDescent="0.3">
      <c r="B7" s="18">
        <v>1</v>
      </c>
      <c r="C7" s="10" t="s">
        <v>234</v>
      </c>
      <c r="D7" s="11" t="s">
        <v>229</v>
      </c>
      <c r="E7" s="12" t="s">
        <v>220</v>
      </c>
    </row>
    <row r="8" spans="2:5" x14ac:dyDescent="0.3">
      <c r="B8" s="11">
        <v>2</v>
      </c>
      <c r="C8" s="10" t="s">
        <v>234</v>
      </c>
      <c r="D8" s="11" t="s">
        <v>230</v>
      </c>
      <c r="E8" s="12" t="s">
        <v>235</v>
      </c>
    </row>
    <row r="9" spans="2:5" x14ac:dyDescent="0.3">
      <c r="B9" s="11">
        <v>3</v>
      </c>
      <c r="C9" s="10" t="s">
        <v>234</v>
      </c>
      <c r="D9" s="11" t="s">
        <v>231</v>
      </c>
      <c r="E9" s="12" t="s">
        <v>236</v>
      </c>
    </row>
    <row r="10" spans="2:5" ht="27.6" x14ac:dyDescent="0.3">
      <c r="B10" s="11">
        <v>4</v>
      </c>
      <c r="C10" s="10" t="s">
        <v>234</v>
      </c>
      <c r="D10" s="11" t="s">
        <v>237</v>
      </c>
      <c r="E10" s="29" t="s">
        <v>282</v>
      </c>
    </row>
    <row r="11" spans="2:5" ht="15" thickBot="1" x14ac:dyDescent="0.35">
      <c r="B11" s="14">
        <v>5</v>
      </c>
      <c r="C11" s="13" t="s">
        <v>234</v>
      </c>
      <c r="D11" s="14" t="s">
        <v>240</v>
      </c>
      <c r="E11" s="15" t="s">
        <v>241</v>
      </c>
    </row>
    <row r="12" spans="2:5" ht="15.6" thickTop="1" thickBot="1" x14ac:dyDescent="0.35"/>
    <row r="13" spans="2:5" ht="19.5" customHeight="1" thickBot="1" x14ac:dyDescent="0.35">
      <c r="B13" s="19" t="s">
        <v>135</v>
      </c>
      <c r="C13" s="39" t="s">
        <v>242</v>
      </c>
      <c r="D13" s="39"/>
      <c r="E13" s="40"/>
    </row>
    <row r="14" spans="2:5" x14ac:dyDescent="0.3">
      <c r="B14" s="18">
        <v>1</v>
      </c>
      <c r="C14" s="11" t="s">
        <v>234</v>
      </c>
      <c r="D14" s="11" t="s">
        <v>243</v>
      </c>
      <c r="E14" s="16" t="s">
        <v>244</v>
      </c>
    </row>
    <row r="15" spans="2:5" x14ac:dyDescent="0.3">
      <c r="B15" s="11">
        <v>2</v>
      </c>
      <c r="C15" s="11" t="s">
        <v>234</v>
      </c>
      <c r="D15" s="11" t="s">
        <v>245</v>
      </c>
      <c r="E15" s="16" t="s">
        <v>249</v>
      </c>
    </row>
    <row r="16" spans="2:5" x14ac:dyDescent="0.3">
      <c r="B16" s="11">
        <v>3</v>
      </c>
      <c r="C16" s="11" t="s">
        <v>234</v>
      </c>
      <c r="D16" s="11" t="s">
        <v>247</v>
      </c>
      <c r="E16" s="16" t="s">
        <v>248</v>
      </c>
    </row>
    <row r="17" spans="2:5" ht="55.8" thickBot="1" x14ac:dyDescent="0.35">
      <c r="B17" s="14">
        <v>4</v>
      </c>
      <c r="C17" s="14" t="s">
        <v>234</v>
      </c>
      <c r="D17" s="14" t="s">
        <v>250</v>
      </c>
      <c r="E17" s="17" t="s">
        <v>251</v>
      </c>
    </row>
    <row r="18" spans="2:5" ht="15" thickTop="1" x14ac:dyDescent="0.3"/>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1" t="s">
        <v>253</v>
      </c>
      <c r="C2" s="42"/>
      <c r="D2" s="43"/>
      <c r="E2" s="47" t="s">
        <v>232</v>
      </c>
    </row>
    <row r="3" spans="2:5" ht="42" customHeight="1" thickBot="1" x14ac:dyDescent="0.35">
      <c r="B3" s="44"/>
      <c r="C3" s="45"/>
      <c r="D3" s="46"/>
      <c r="E3" s="48"/>
    </row>
    <row r="4" spans="2:5" ht="8.25" customHeight="1" x14ac:dyDescent="0.3"/>
    <row r="5" spans="2:5" ht="27" customHeight="1" x14ac:dyDescent="0.3">
      <c r="B5" s="22" t="s">
        <v>260</v>
      </c>
      <c r="C5" s="21"/>
      <c r="D5" s="20"/>
      <c r="E5" s="20"/>
    </row>
    <row r="6" spans="2:5" ht="19.5" customHeight="1" thickBot="1" x14ac:dyDescent="0.35">
      <c r="C6" s="8" t="s">
        <v>226</v>
      </c>
      <c r="D6" s="8" t="s">
        <v>257</v>
      </c>
      <c r="E6" s="9" t="s">
        <v>224</v>
      </c>
    </row>
    <row r="7" spans="2:5" ht="19.5" customHeight="1" thickBot="1" x14ac:dyDescent="0.35">
      <c r="B7" s="19" t="s">
        <v>135</v>
      </c>
      <c r="C7" s="39" t="s">
        <v>254</v>
      </c>
      <c r="D7" s="39"/>
      <c r="E7" s="40"/>
    </row>
    <row r="8" spans="2:5" x14ac:dyDescent="0.3">
      <c r="B8" s="18">
        <v>1</v>
      </c>
      <c r="C8" s="10" t="s">
        <v>256</v>
      </c>
      <c r="D8" s="11" t="s">
        <v>258</v>
      </c>
      <c r="E8" s="16" t="s">
        <v>259</v>
      </c>
    </row>
    <row r="9" spans="2:5" x14ac:dyDescent="0.3">
      <c r="B9" s="11">
        <v>2</v>
      </c>
      <c r="C9" s="10" t="s">
        <v>256</v>
      </c>
      <c r="D9" s="11"/>
      <c r="E9" s="16" t="s">
        <v>261</v>
      </c>
    </row>
    <row r="10" spans="2:5" x14ac:dyDescent="0.3">
      <c r="B10" s="11">
        <v>3</v>
      </c>
      <c r="C10" s="10" t="s">
        <v>256</v>
      </c>
      <c r="D10" s="11"/>
      <c r="E10" s="16" t="s">
        <v>262</v>
      </c>
    </row>
    <row r="11" spans="2:5" x14ac:dyDescent="0.3">
      <c r="B11" s="11">
        <v>4</v>
      </c>
      <c r="C11" s="10" t="s">
        <v>256</v>
      </c>
      <c r="D11" s="11"/>
      <c r="E11" s="16" t="s">
        <v>263</v>
      </c>
    </row>
    <row r="12" spans="2:5" ht="15" thickBot="1" x14ac:dyDescent="0.35">
      <c r="B12" s="14">
        <v>5</v>
      </c>
      <c r="C12" s="13" t="s">
        <v>256</v>
      </c>
      <c r="D12" s="14"/>
      <c r="E12" s="17" t="s">
        <v>264</v>
      </c>
    </row>
    <row r="13" spans="2:5" ht="15.6" thickTop="1" thickBot="1" x14ac:dyDescent="0.35"/>
    <row r="14" spans="2:5" ht="19.5" customHeight="1" thickBot="1" x14ac:dyDescent="0.35">
      <c r="B14" s="19" t="s">
        <v>135</v>
      </c>
      <c r="C14" s="39" t="s">
        <v>255</v>
      </c>
      <c r="D14" s="39"/>
      <c r="E14" s="40"/>
    </row>
    <row r="15" spans="2:5" x14ac:dyDescent="0.3">
      <c r="B15" s="18">
        <v>1</v>
      </c>
      <c r="C15" s="10" t="s">
        <v>256</v>
      </c>
      <c r="D15" s="11" t="s">
        <v>265</v>
      </c>
      <c r="E15" s="16" t="s">
        <v>273</v>
      </c>
    </row>
    <row r="16" spans="2:5" x14ac:dyDescent="0.3">
      <c r="B16" s="11">
        <v>2</v>
      </c>
      <c r="C16" s="10" t="s">
        <v>256</v>
      </c>
      <c r="D16" s="11" t="s">
        <v>266</v>
      </c>
      <c r="E16" s="16" t="s">
        <v>268</v>
      </c>
    </row>
    <row r="17" spans="2:5" x14ac:dyDescent="0.3">
      <c r="B17" s="11">
        <v>3</v>
      </c>
      <c r="C17" s="10" t="s">
        <v>256</v>
      </c>
      <c r="D17" s="11" t="s">
        <v>267</v>
      </c>
      <c r="E17" s="16" t="s">
        <v>269</v>
      </c>
    </row>
    <row r="18" spans="2:5" ht="15" thickBot="1" x14ac:dyDescent="0.35">
      <c r="B18" s="14">
        <v>4</v>
      </c>
      <c r="C18" s="13" t="s">
        <v>256</v>
      </c>
      <c r="D18" s="14" t="s">
        <v>271</v>
      </c>
      <c r="E18" s="17" t="s">
        <v>270</v>
      </c>
    </row>
    <row r="19" spans="2:5" ht="15" thickTop="1" x14ac:dyDescent="0.3"/>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zoomScaleNormal="100" workbookViewId="0"/>
  </sheetViews>
  <sheetFormatPr defaultRowHeight="14.4" x14ac:dyDescent="0.3"/>
  <cols>
    <col min="1" max="1" width="1" customWidth="1"/>
    <col min="2" max="2" width="5.5546875" bestFit="1" customWidth="1"/>
    <col min="3" max="3" width="13.44140625" bestFit="1" customWidth="1"/>
    <col min="4" max="4" width="14.44140625" customWidth="1"/>
    <col min="5" max="5" width="145.109375" bestFit="1" customWidth="1"/>
  </cols>
  <sheetData>
    <row r="1" spans="2:5" ht="5.25" customHeight="1" thickBot="1" x14ac:dyDescent="0.35"/>
    <row r="2" spans="2:5" ht="16.5" customHeight="1" x14ac:dyDescent="0.3">
      <c r="B2" s="41" t="s">
        <v>272</v>
      </c>
      <c r="C2" s="42"/>
      <c r="D2" s="43"/>
      <c r="E2" s="47" t="s">
        <v>232</v>
      </c>
    </row>
    <row r="3" spans="2:5" ht="42" customHeight="1" thickBot="1" x14ac:dyDescent="0.35">
      <c r="B3" s="44"/>
      <c r="C3" s="45"/>
      <c r="D3" s="46"/>
      <c r="E3" s="48"/>
    </row>
    <row r="4" spans="2:5" ht="8.25" customHeight="1" x14ac:dyDescent="0.3"/>
    <row r="5" spans="2:5" ht="27" customHeight="1" x14ac:dyDescent="0.3">
      <c r="B5" s="22" t="s">
        <v>260</v>
      </c>
      <c r="C5" s="21"/>
      <c r="D5" s="20"/>
      <c r="E5" s="20"/>
    </row>
    <row r="6" spans="2:5" ht="19.5" customHeight="1" thickBot="1" x14ac:dyDescent="0.35">
      <c r="C6" s="8" t="s">
        <v>226</v>
      </c>
      <c r="D6" s="8" t="s">
        <v>257</v>
      </c>
      <c r="E6" s="9" t="s">
        <v>224</v>
      </c>
    </row>
    <row r="7" spans="2:5" ht="19.5" customHeight="1" thickBot="1" x14ac:dyDescent="0.35">
      <c r="B7" s="19" t="s">
        <v>135</v>
      </c>
      <c r="C7" s="39" t="s">
        <v>281</v>
      </c>
      <c r="D7" s="39"/>
      <c r="E7" s="40"/>
    </row>
    <row r="8" spans="2:5" x14ac:dyDescent="0.3">
      <c r="B8" s="18">
        <v>1</v>
      </c>
      <c r="C8" s="10" t="s">
        <v>227</v>
      </c>
      <c r="D8" s="11" t="s">
        <v>274</v>
      </c>
      <c r="E8" s="16" t="s">
        <v>275</v>
      </c>
    </row>
    <row r="9" spans="2:5" ht="15" customHeight="1" x14ac:dyDescent="0.3">
      <c r="B9" s="11">
        <v>2</v>
      </c>
      <c r="C9" s="10" t="s">
        <v>227</v>
      </c>
      <c r="D9" s="11"/>
      <c r="E9" s="25" t="s">
        <v>279</v>
      </c>
    </row>
    <row r="10" spans="2:5" x14ac:dyDescent="0.3">
      <c r="B10" s="11">
        <v>3</v>
      </c>
      <c r="C10" s="10" t="s">
        <v>227</v>
      </c>
      <c r="D10" s="11"/>
      <c r="E10" s="16" t="s">
        <v>276</v>
      </c>
    </row>
    <row r="11" spans="2:5" x14ac:dyDescent="0.3">
      <c r="B11" s="11">
        <v>4</v>
      </c>
      <c r="C11" s="10" t="s">
        <v>227</v>
      </c>
      <c r="D11" s="11"/>
      <c r="E11" s="16" t="s">
        <v>277</v>
      </c>
    </row>
    <row r="12" spans="2:5" x14ac:dyDescent="0.3">
      <c r="B12" s="26">
        <v>5</v>
      </c>
      <c r="C12" s="27" t="s">
        <v>227</v>
      </c>
      <c r="D12" s="26"/>
      <c r="E12" s="28" t="s">
        <v>264</v>
      </c>
    </row>
    <row r="13" spans="2:5" ht="15" thickBot="1" x14ac:dyDescent="0.35">
      <c r="B13" s="14">
        <v>5</v>
      </c>
      <c r="C13" s="13" t="s">
        <v>227</v>
      </c>
      <c r="D13" s="14" t="s">
        <v>280</v>
      </c>
      <c r="E13" s="17" t="s">
        <v>278</v>
      </c>
    </row>
    <row r="14" spans="2:5" ht="15" thickTop="1" x14ac:dyDescent="0.3"/>
  </sheetData>
  <sheetProtection sheet="1" objects="1" scenarios="1"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4:K16"/>
  <sheetViews>
    <sheetView workbookViewId="0">
      <selection activeCell="N15" sqref="N15"/>
    </sheetView>
  </sheetViews>
  <sheetFormatPr defaultRowHeight="14.4" x14ac:dyDescent="0.3"/>
  <cols>
    <col min="2" max="2" width="13.21875" bestFit="1" customWidth="1"/>
    <col min="3" max="3" width="15.5546875" bestFit="1" customWidth="1"/>
    <col min="4" max="4" width="5.21875" bestFit="1" customWidth="1"/>
    <col min="5" max="5" width="10.77734375" bestFit="1" customWidth="1"/>
    <col min="9" max="9" width="14.88671875" bestFit="1" customWidth="1"/>
  </cols>
  <sheetData>
    <row r="4" spans="2:11" x14ac:dyDescent="0.3">
      <c r="B4" s="36" t="s">
        <v>283</v>
      </c>
      <c r="C4" s="36" t="s">
        <v>285</v>
      </c>
      <c r="I4" s="38" t="str" cm="1">
        <f t="array" ref="I4:K4">TRANSPOSE(_xlfn.UNIQUE(SPORTSMEN!I1:I51))</f>
        <v>GENDER</v>
      </c>
      <c r="J4" s="37" t="str">
        <v>Female</v>
      </c>
      <c r="K4" s="37" t="str">
        <v>Male</v>
      </c>
    </row>
    <row r="5" spans="2:11" x14ac:dyDescent="0.3">
      <c r="B5" s="36" t="s">
        <v>284</v>
      </c>
      <c r="C5" t="s">
        <v>138</v>
      </c>
      <c r="D5" t="s">
        <v>142</v>
      </c>
      <c r="I5" s="38" t="s">
        <v>228</v>
      </c>
      <c r="J5" s="2"/>
      <c r="K5" s="2"/>
    </row>
    <row r="6" spans="2:11" x14ac:dyDescent="0.3">
      <c r="B6" s="1" t="s">
        <v>159</v>
      </c>
      <c r="C6">
        <v>1</v>
      </c>
      <c r="D6">
        <v>2</v>
      </c>
      <c r="I6" s="2" t="s">
        <v>140</v>
      </c>
      <c r="J6" s="2">
        <f>COUNTIFS(SPORTSMEN!$K:$K,ANALYSIS!$I6,SPORTSMEN!$I:$I,ANALYSIS!J$4)</f>
        <v>4</v>
      </c>
      <c r="K6" s="2">
        <f>COUNTIFS(SPORTSMEN!$K:$K,ANALYSIS!$I6,SPORTSMEN!$I:$I,ANALYSIS!K$4)</f>
        <v>3</v>
      </c>
    </row>
    <row r="7" spans="2:11" x14ac:dyDescent="0.3">
      <c r="B7" s="1" t="s">
        <v>151</v>
      </c>
      <c r="C7">
        <v>6</v>
      </c>
      <c r="D7">
        <v>2</v>
      </c>
      <c r="I7" s="2" t="s">
        <v>144</v>
      </c>
      <c r="J7" s="2">
        <f>COUNTIFS(SPORTSMEN!$K:$K,ANALYSIS!$I7,SPORTSMEN!$I:$I,ANALYSIS!J$4)</f>
        <v>0</v>
      </c>
      <c r="K7" s="2">
        <f>COUNTIFS(SPORTSMEN!$K:$K,ANALYSIS!$I7,SPORTSMEN!$I:$I,ANALYSIS!K$4)</f>
        <v>2</v>
      </c>
    </row>
    <row r="8" spans="2:11" x14ac:dyDescent="0.3">
      <c r="B8" s="1" t="s">
        <v>153</v>
      </c>
      <c r="C8">
        <v>1</v>
      </c>
      <c r="D8">
        <v>2</v>
      </c>
      <c r="I8" s="2" t="s">
        <v>146</v>
      </c>
      <c r="J8" s="2">
        <f>COUNTIFS(SPORTSMEN!$K:$K,ANALYSIS!$I8,SPORTSMEN!$I:$I,ANALYSIS!J$4)</f>
        <v>3</v>
      </c>
      <c r="K8" s="2">
        <f>COUNTIFS(SPORTSMEN!$K:$K,ANALYSIS!$I8,SPORTSMEN!$I:$I,ANALYSIS!K$4)</f>
        <v>2</v>
      </c>
    </row>
    <row r="9" spans="2:11" x14ac:dyDescent="0.3">
      <c r="B9" s="1" t="s">
        <v>144</v>
      </c>
      <c r="D9">
        <v>2</v>
      </c>
      <c r="I9" s="2" t="s">
        <v>149</v>
      </c>
      <c r="J9" s="2">
        <f>COUNTIFS(SPORTSMEN!$K:$K,ANALYSIS!$I9,SPORTSMEN!$I:$I,ANALYSIS!J$4)</f>
        <v>1</v>
      </c>
      <c r="K9" s="2">
        <f>COUNTIFS(SPORTSMEN!$K:$K,ANALYSIS!$I9,SPORTSMEN!$I:$I,ANALYSIS!K$4)</f>
        <v>4</v>
      </c>
    </row>
    <row r="10" spans="2:11" x14ac:dyDescent="0.3">
      <c r="B10" s="1" t="s">
        <v>156</v>
      </c>
      <c r="C10">
        <v>3</v>
      </c>
      <c r="D10">
        <v>6</v>
      </c>
      <c r="I10" s="2" t="s">
        <v>151</v>
      </c>
      <c r="J10" s="2">
        <f>COUNTIFS(SPORTSMEN!$K:$K,ANALYSIS!$I10,SPORTSMEN!$I:$I,ANALYSIS!J$4)</f>
        <v>6</v>
      </c>
      <c r="K10" s="2">
        <f>COUNTIFS(SPORTSMEN!$K:$K,ANALYSIS!$I10,SPORTSMEN!$I:$I,ANALYSIS!K$4)</f>
        <v>2</v>
      </c>
    </row>
    <row r="11" spans="2:11" x14ac:dyDescent="0.3">
      <c r="B11" s="1" t="s">
        <v>149</v>
      </c>
      <c r="C11">
        <v>1</v>
      </c>
      <c r="D11">
        <v>4</v>
      </c>
      <c r="I11" s="2" t="s">
        <v>153</v>
      </c>
      <c r="J11" s="2">
        <f>COUNTIFS(SPORTSMEN!$K:$K,ANALYSIS!$I11,SPORTSMEN!$I:$I,ANALYSIS!J$4)</f>
        <v>1</v>
      </c>
      <c r="K11" s="2">
        <f>COUNTIFS(SPORTSMEN!$K:$K,ANALYSIS!$I11,SPORTSMEN!$I:$I,ANALYSIS!K$4)</f>
        <v>2</v>
      </c>
    </row>
    <row r="12" spans="2:11" x14ac:dyDescent="0.3">
      <c r="B12" s="1" t="s">
        <v>164</v>
      </c>
      <c r="C12">
        <v>2</v>
      </c>
      <c r="D12">
        <v>1</v>
      </c>
      <c r="I12" s="2" t="s">
        <v>156</v>
      </c>
      <c r="J12" s="2">
        <f>COUNTIFS(SPORTSMEN!$K:$K,ANALYSIS!$I12,SPORTSMEN!$I:$I,ANALYSIS!J$4)</f>
        <v>3</v>
      </c>
      <c r="K12" s="2">
        <f>COUNTIFS(SPORTSMEN!$K:$K,ANALYSIS!$I12,SPORTSMEN!$I:$I,ANALYSIS!K$4)</f>
        <v>6</v>
      </c>
    </row>
    <row r="13" spans="2:11" x14ac:dyDescent="0.3">
      <c r="B13" s="1" t="s">
        <v>161</v>
      </c>
      <c r="C13">
        <v>3</v>
      </c>
      <c r="I13" s="2" t="s">
        <v>159</v>
      </c>
      <c r="J13" s="2">
        <f>COUNTIFS(SPORTSMEN!$K:$K,ANALYSIS!$I13,SPORTSMEN!$I:$I,ANALYSIS!J$4)</f>
        <v>1</v>
      </c>
      <c r="K13" s="2">
        <f>COUNTIFS(SPORTSMEN!$K:$K,ANALYSIS!$I13,SPORTSMEN!$I:$I,ANALYSIS!K$4)</f>
        <v>2</v>
      </c>
    </row>
    <row r="14" spans="2:11" x14ac:dyDescent="0.3">
      <c r="B14" s="1" t="s">
        <v>167</v>
      </c>
      <c r="C14">
        <v>1</v>
      </c>
      <c r="D14">
        <v>1</v>
      </c>
      <c r="I14" s="2" t="s">
        <v>161</v>
      </c>
      <c r="J14" s="2">
        <f>COUNTIFS(SPORTSMEN!$K:$K,ANALYSIS!$I14,SPORTSMEN!$I:$I,ANALYSIS!J$4)</f>
        <v>3</v>
      </c>
      <c r="K14" s="2">
        <f>COUNTIFS(SPORTSMEN!$K:$K,ANALYSIS!$I14,SPORTSMEN!$I:$I,ANALYSIS!K$4)</f>
        <v>0</v>
      </c>
    </row>
    <row r="15" spans="2:11" x14ac:dyDescent="0.3">
      <c r="B15" s="1" t="s">
        <v>146</v>
      </c>
      <c r="C15">
        <v>3</v>
      </c>
      <c r="D15">
        <v>2</v>
      </c>
      <c r="I15" s="2" t="s">
        <v>164</v>
      </c>
      <c r="J15" s="2">
        <f>COUNTIFS(SPORTSMEN!$K:$K,ANALYSIS!$I15,SPORTSMEN!$I:$I,ANALYSIS!J$4)</f>
        <v>2</v>
      </c>
      <c r="K15" s="2">
        <f>COUNTIFS(SPORTSMEN!$K:$K,ANALYSIS!$I15,SPORTSMEN!$I:$I,ANALYSIS!K$4)</f>
        <v>1</v>
      </c>
    </row>
    <row r="16" spans="2:11" x14ac:dyDescent="0.3">
      <c r="B16" s="1" t="s">
        <v>140</v>
      </c>
      <c r="C16">
        <v>4</v>
      </c>
      <c r="D16">
        <v>3</v>
      </c>
      <c r="I16" s="2" t="s">
        <v>167</v>
      </c>
      <c r="J16" s="2">
        <f>COUNTIFS(SPORTSMEN!$K:$K,ANALYSIS!$I16,SPORTSMEN!$I:$I,ANALYSIS!J$4)</f>
        <v>1</v>
      </c>
      <c r="K16" s="2">
        <f>COUNTIFS(SPORTSMEN!$K:$K,ANALYSIS!$I16,SPORTSMEN!$I:$I,ANALYSIS!K$4)</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B3:E53"/>
  <sheetViews>
    <sheetView tabSelected="1" workbookViewId="0">
      <selection activeCell="F13" sqref="F13"/>
    </sheetView>
  </sheetViews>
  <sheetFormatPr defaultRowHeight="14.4" x14ac:dyDescent="0.3"/>
  <cols>
    <col min="2" max="2" width="13.21875" bestFit="1" customWidth="1"/>
    <col min="3" max="3" width="26.109375" bestFit="1" customWidth="1"/>
    <col min="4" max="4" width="28.77734375" bestFit="1" customWidth="1"/>
    <col min="5" max="5" width="10.109375" bestFit="1" customWidth="1"/>
    <col min="6" max="6" width="18.109375" bestFit="1" customWidth="1"/>
    <col min="7" max="7" width="16.88671875" bestFit="1" customWidth="1"/>
    <col min="8" max="8" width="14.21875" bestFit="1" customWidth="1"/>
    <col min="9" max="9" width="18.77734375" bestFit="1" customWidth="1"/>
    <col min="10" max="10" width="15.21875" bestFit="1" customWidth="1"/>
    <col min="11" max="11" width="14" bestFit="1" customWidth="1"/>
    <col min="12" max="12" width="18.44140625" bestFit="1" customWidth="1"/>
    <col min="13" max="13" width="16" bestFit="1" customWidth="1"/>
    <col min="14" max="14" width="13.6640625" bestFit="1" customWidth="1"/>
    <col min="15" max="15" width="23.5546875" bestFit="1" customWidth="1"/>
    <col min="16" max="16" width="24.6640625" bestFit="1" customWidth="1"/>
    <col min="17" max="17" width="16.6640625" bestFit="1" customWidth="1"/>
    <col min="18" max="19" width="18.6640625" bestFit="1" customWidth="1"/>
    <col min="20" max="20" width="20" bestFit="1" customWidth="1"/>
    <col min="21" max="21" width="19.77734375" bestFit="1" customWidth="1"/>
    <col min="22" max="22" width="16" bestFit="1" customWidth="1"/>
    <col min="23" max="23" width="11.44140625" bestFit="1" customWidth="1"/>
    <col min="24" max="24" width="15.33203125" bestFit="1" customWidth="1"/>
    <col min="25" max="25" width="18.77734375" bestFit="1" customWidth="1"/>
    <col min="26" max="26" width="17.44140625" bestFit="1" customWidth="1"/>
    <col min="27" max="27" width="23.5546875" bestFit="1" customWidth="1"/>
    <col min="28" max="28" width="13.88671875" bestFit="1" customWidth="1"/>
    <col min="29" max="29" width="22.109375" bestFit="1" customWidth="1"/>
    <col min="30" max="30" width="15.5546875" bestFit="1" customWidth="1"/>
    <col min="31" max="31" width="14.44140625" bestFit="1" customWidth="1"/>
    <col min="32" max="32" width="12.21875" bestFit="1" customWidth="1"/>
    <col min="33" max="33" width="16.21875" bestFit="1" customWidth="1"/>
    <col min="34" max="34" width="15.6640625" bestFit="1" customWidth="1"/>
    <col min="35" max="35" width="21.5546875" bestFit="1" customWidth="1"/>
    <col min="36" max="36" width="20" bestFit="1" customWidth="1"/>
    <col min="37" max="37" width="18.44140625" bestFit="1" customWidth="1"/>
    <col min="38" max="38" width="14" bestFit="1" customWidth="1"/>
    <col min="39" max="39" width="16.33203125" bestFit="1" customWidth="1"/>
    <col min="40" max="40" width="19.33203125" bestFit="1" customWidth="1"/>
    <col min="41" max="41" width="15.21875" bestFit="1" customWidth="1"/>
    <col min="42" max="42" width="18.109375" bestFit="1" customWidth="1"/>
    <col min="43" max="43" width="11.44140625" bestFit="1" customWidth="1"/>
    <col min="44" max="44" width="14.33203125" bestFit="1" customWidth="1"/>
    <col min="45" max="45" width="17.44140625" bestFit="1" customWidth="1"/>
    <col min="46" max="46" width="11.88671875" bestFit="1" customWidth="1"/>
    <col min="47" max="47" width="13.109375" bestFit="1" customWidth="1"/>
    <col min="48" max="48" width="11.88671875" bestFit="1" customWidth="1"/>
    <col min="49" max="49" width="14.5546875" bestFit="1" customWidth="1"/>
    <col min="50" max="50" width="21.44140625" bestFit="1" customWidth="1"/>
    <col min="51" max="51" width="19.44140625" bestFit="1" customWidth="1"/>
    <col min="52" max="52" width="14.5546875" bestFit="1" customWidth="1"/>
  </cols>
  <sheetData>
    <row r="3" spans="2:5" x14ac:dyDescent="0.3">
      <c r="B3" s="36" t="s">
        <v>222</v>
      </c>
      <c r="C3" s="36" t="s">
        <v>221</v>
      </c>
      <c r="D3" s="36" t="s">
        <v>233</v>
      </c>
      <c r="E3" s="36" t="s">
        <v>170</v>
      </c>
    </row>
    <row r="4" spans="2:5" x14ac:dyDescent="0.3">
      <c r="B4">
        <v>1</v>
      </c>
      <c r="C4" t="s">
        <v>286</v>
      </c>
      <c r="D4" t="s">
        <v>336</v>
      </c>
      <c r="E4" t="s">
        <v>138</v>
      </c>
    </row>
    <row r="5" spans="2:5" x14ac:dyDescent="0.3">
      <c r="B5">
        <v>2</v>
      </c>
      <c r="C5" t="s">
        <v>287</v>
      </c>
      <c r="D5" t="s">
        <v>337</v>
      </c>
      <c r="E5" t="s">
        <v>138</v>
      </c>
    </row>
    <row r="6" spans="2:5" x14ac:dyDescent="0.3">
      <c r="B6">
        <v>3</v>
      </c>
      <c r="C6" t="s">
        <v>288</v>
      </c>
      <c r="D6" t="s">
        <v>338</v>
      </c>
      <c r="E6" t="s">
        <v>142</v>
      </c>
    </row>
    <row r="7" spans="2:5" x14ac:dyDescent="0.3">
      <c r="B7">
        <v>4</v>
      </c>
      <c r="C7" t="s">
        <v>289</v>
      </c>
      <c r="D7" t="s">
        <v>339</v>
      </c>
      <c r="E7" t="s">
        <v>138</v>
      </c>
    </row>
    <row r="8" spans="2:5" x14ac:dyDescent="0.3">
      <c r="B8">
        <v>5</v>
      </c>
      <c r="C8" t="s">
        <v>290</v>
      </c>
      <c r="D8" t="s">
        <v>340</v>
      </c>
      <c r="E8" t="s">
        <v>142</v>
      </c>
    </row>
    <row r="9" spans="2:5" x14ac:dyDescent="0.3">
      <c r="B9">
        <v>6</v>
      </c>
      <c r="C9" t="s">
        <v>291</v>
      </c>
      <c r="D9" t="s">
        <v>341</v>
      </c>
      <c r="E9" t="s">
        <v>142</v>
      </c>
    </row>
    <row r="10" spans="2:5" x14ac:dyDescent="0.3">
      <c r="B10">
        <v>7</v>
      </c>
      <c r="C10" t="s">
        <v>292</v>
      </c>
      <c r="D10" t="s">
        <v>342</v>
      </c>
      <c r="E10" t="s">
        <v>138</v>
      </c>
    </row>
    <row r="11" spans="2:5" x14ac:dyDescent="0.3">
      <c r="B11">
        <v>8</v>
      </c>
      <c r="C11" t="s">
        <v>293</v>
      </c>
      <c r="D11" t="s">
        <v>343</v>
      </c>
      <c r="E11" t="s">
        <v>142</v>
      </c>
    </row>
    <row r="12" spans="2:5" x14ac:dyDescent="0.3">
      <c r="B12">
        <v>9</v>
      </c>
      <c r="C12" t="s">
        <v>294</v>
      </c>
      <c r="D12" t="s">
        <v>344</v>
      </c>
      <c r="E12" t="s">
        <v>138</v>
      </c>
    </row>
    <row r="13" spans="2:5" x14ac:dyDescent="0.3">
      <c r="B13">
        <v>10</v>
      </c>
      <c r="C13" t="s">
        <v>295</v>
      </c>
      <c r="D13" t="s">
        <v>345</v>
      </c>
      <c r="E13" t="s">
        <v>142</v>
      </c>
    </row>
    <row r="14" spans="2:5" x14ac:dyDescent="0.3">
      <c r="B14">
        <v>11</v>
      </c>
      <c r="C14" t="s">
        <v>296</v>
      </c>
      <c r="D14" t="s">
        <v>346</v>
      </c>
      <c r="E14" t="s">
        <v>142</v>
      </c>
    </row>
    <row r="15" spans="2:5" x14ac:dyDescent="0.3">
      <c r="B15">
        <v>12</v>
      </c>
      <c r="C15" t="s">
        <v>297</v>
      </c>
      <c r="D15" t="s">
        <v>347</v>
      </c>
      <c r="E15" t="s">
        <v>138</v>
      </c>
    </row>
    <row r="16" spans="2:5" x14ac:dyDescent="0.3">
      <c r="B16">
        <v>13</v>
      </c>
      <c r="C16" t="s">
        <v>298</v>
      </c>
      <c r="D16" t="s">
        <v>348</v>
      </c>
      <c r="E16" t="s">
        <v>138</v>
      </c>
    </row>
    <row r="17" spans="2:5" x14ac:dyDescent="0.3">
      <c r="B17">
        <v>14</v>
      </c>
      <c r="C17" t="s">
        <v>299</v>
      </c>
      <c r="D17" t="s">
        <v>349</v>
      </c>
      <c r="E17" t="s">
        <v>142</v>
      </c>
    </row>
    <row r="18" spans="2:5" x14ac:dyDescent="0.3">
      <c r="B18">
        <v>15</v>
      </c>
      <c r="C18" t="s">
        <v>300</v>
      </c>
      <c r="D18" t="s">
        <v>350</v>
      </c>
      <c r="E18" t="s">
        <v>138</v>
      </c>
    </row>
    <row r="19" spans="2:5" x14ac:dyDescent="0.3">
      <c r="B19">
        <v>16</v>
      </c>
      <c r="C19" t="s">
        <v>301</v>
      </c>
      <c r="D19" t="s">
        <v>351</v>
      </c>
      <c r="E19" t="s">
        <v>142</v>
      </c>
    </row>
    <row r="20" spans="2:5" x14ac:dyDescent="0.3">
      <c r="B20">
        <v>17</v>
      </c>
      <c r="C20" t="s">
        <v>302</v>
      </c>
      <c r="D20" t="s">
        <v>352</v>
      </c>
      <c r="E20" t="s">
        <v>142</v>
      </c>
    </row>
    <row r="21" spans="2:5" x14ac:dyDescent="0.3">
      <c r="B21">
        <v>18</v>
      </c>
      <c r="C21" t="s">
        <v>303</v>
      </c>
      <c r="D21" t="s">
        <v>353</v>
      </c>
      <c r="E21" t="s">
        <v>142</v>
      </c>
    </row>
    <row r="22" spans="2:5" x14ac:dyDescent="0.3">
      <c r="B22">
        <v>19</v>
      </c>
      <c r="C22" t="s">
        <v>304</v>
      </c>
      <c r="D22" t="s">
        <v>354</v>
      </c>
      <c r="E22" t="s">
        <v>138</v>
      </c>
    </row>
    <row r="23" spans="2:5" x14ac:dyDescent="0.3">
      <c r="B23">
        <v>20</v>
      </c>
      <c r="C23" t="s">
        <v>305</v>
      </c>
      <c r="D23" t="s">
        <v>355</v>
      </c>
      <c r="E23" t="s">
        <v>142</v>
      </c>
    </row>
    <row r="24" spans="2:5" x14ac:dyDescent="0.3">
      <c r="B24">
        <v>21</v>
      </c>
      <c r="C24" t="s">
        <v>306</v>
      </c>
      <c r="D24" t="s">
        <v>356</v>
      </c>
      <c r="E24" t="s">
        <v>142</v>
      </c>
    </row>
    <row r="25" spans="2:5" x14ac:dyDescent="0.3">
      <c r="B25">
        <v>22</v>
      </c>
      <c r="C25" t="s">
        <v>307</v>
      </c>
      <c r="D25" t="s">
        <v>357</v>
      </c>
      <c r="E25" t="s">
        <v>138</v>
      </c>
    </row>
    <row r="26" spans="2:5" x14ac:dyDescent="0.3">
      <c r="B26">
        <v>23</v>
      </c>
      <c r="C26" t="s">
        <v>308</v>
      </c>
      <c r="D26" t="s">
        <v>358</v>
      </c>
      <c r="E26" t="s">
        <v>138</v>
      </c>
    </row>
    <row r="27" spans="2:5" x14ac:dyDescent="0.3">
      <c r="B27">
        <v>24</v>
      </c>
      <c r="C27" t="s">
        <v>309</v>
      </c>
      <c r="D27" t="s">
        <v>359</v>
      </c>
      <c r="E27" t="s">
        <v>138</v>
      </c>
    </row>
    <row r="28" spans="2:5" x14ac:dyDescent="0.3">
      <c r="B28">
        <v>25</v>
      </c>
      <c r="C28" t="s">
        <v>310</v>
      </c>
      <c r="D28" t="s">
        <v>360</v>
      </c>
      <c r="E28" t="s">
        <v>138</v>
      </c>
    </row>
    <row r="29" spans="2:5" x14ac:dyDescent="0.3">
      <c r="B29">
        <v>26</v>
      </c>
      <c r="C29" t="s">
        <v>311</v>
      </c>
      <c r="D29" t="s">
        <v>361</v>
      </c>
      <c r="E29" t="s">
        <v>138</v>
      </c>
    </row>
    <row r="30" spans="2:5" x14ac:dyDescent="0.3">
      <c r="B30">
        <v>27</v>
      </c>
      <c r="C30" t="s">
        <v>312</v>
      </c>
      <c r="D30" t="s">
        <v>362</v>
      </c>
      <c r="E30" t="s">
        <v>142</v>
      </c>
    </row>
    <row r="31" spans="2:5" x14ac:dyDescent="0.3">
      <c r="B31">
        <v>28</v>
      </c>
      <c r="C31" t="s">
        <v>313</v>
      </c>
      <c r="D31" t="s">
        <v>363</v>
      </c>
      <c r="E31" t="s">
        <v>142</v>
      </c>
    </row>
    <row r="32" spans="2:5" x14ac:dyDescent="0.3">
      <c r="B32">
        <v>29</v>
      </c>
      <c r="C32" t="s">
        <v>314</v>
      </c>
      <c r="D32" t="s">
        <v>364</v>
      </c>
      <c r="E32" t="s">
        <v>138</v>
      </c>
    </row>
    <row r="33" spans="2:5" x14ac:dyDescent="0.3">
      <c r="B33">
        <v>30</v>
      </c>
      <c r="C33" t="s">
        <v>315</v>
      </c>
      <c r="D33" t="s">
        <v>365</v>
      </c>
      <c r="E33" t="s">
        <v>138</v>
      </c>
    </row>
    <row r="34" spans="2:5" x14ac:dyDescent="0.3">
      <c r="B34">
        <v>31</v>
      </c>
      <c r="C34" t="s">
        <v>316</v>
      </c>
      <c r="D34" t="s">
        <v>366</v>
      </c>
      <c r="E34" t="s">
        <v>138</v>
      </c>
    </row>
    <row r="35" spans="2:5" x14ac:dyDescent="0.3">
      <c r="B35">
        <v>32</v>
      </c>
      <c r="C35" t="s">
        <v>317</v>
      </c>
      <c r="D35" t="s">
        <v>367</v>
      </c>
      <c r="E35" t="s">
        <v>138</v>
      </c>
    </row>
    <row r="36" spans="2:5" x14ac:dyDescent="0.3">
      <c r="B36">
        <v>33</v>
      </c>
      <c r="C36" t="s">
        <v>318</v>
      </c>
      <c r="D36" t="s">
        <v>368</v>
      </c>
      <c r="E36" t="s">
        <v>142</v>
      </c>
    </row>
    <row r="37" spans="2:5" x14ac:dyDescent="0.3">
      <c r="B37">
        <v>34</v>
      </c>
      <c r="C37" t="s">
        <v>319</v>
      </c>
      <c r="D37" t="s">
        <v>369</v>
      </c>
      <c r="E37" t="s">
        <v>142</v>
      </c>
    </row>
    <row r="38" spans="2:5" x14ac:dyDescent="0.3">
      <c r="B38">
        <v>35</v>
      </c>
      <c r="C38" t="s">
        <v>320</v>
      </c>
      <c r="D38" t="s">
        <v>370</v>
      </c>
      <c r="E38" t="s">
        <v>142</v>
      </c>
    </row>
    <row r="39" spans="2:5" x14ac:dyDescent="0.3">
      <c r="B39">
        <v>36</v>
      </c>
      <c r="C39" t="s">
        <v>321</v>
      </c>
      <c r="D39" t="s">
        <v>371</v>
      </c>
      <c r="E39" t="s">
        <v>142</v>
      </c>
    </row>
    <row r="40" spans="2:5" x14ac:dyDescent="0.3">
      <c r="B40">
        <v>37</v>
      </c>
      <c r="C40" t="s">
        <v>322</v>
      </c>
      <c r="D40" t="s">
        <v>372</v>
      </c>
      <c r="E40" t="s">
        <v>142</v>
      </c>
    </row>
    <row r="41" spans="2:5" x14ac:dyDescent="0.3">
      <c r="B41">
        <v>38</v>
      </c>
      <c r="C41" t="s">
        <v>323</v>
      </c>
      <c r="D41" t="s">
        <v>373</v>
      </c>
      <c r="E41" t="s">
        <v>142</v>
      </c>
    </row>
    <row r="42" spans="2:5" x14ac:dyDescent="0.3">
      <c r="B42">
        <v>39</v>
      </c>
      <c r="C42" t="s">
        <v>324</v>
      </c>
      <c r="D42" t="s">
        <v>374</v>
      </c>
      <c r="E42" t="s">
        <v>142</v>
      </c>
    </row>
    <row r="43" spans="2:5" x14ac:dyDescent="0.3">
      <c r="B43">
        <v>40</v>
      </c>
      <c r="C43" t="s">
        <v>325</v>
      </c>
      <c r="D43" t="s">
        <v>375</v>
      </c>
      <c r="E43" t="s">
        <v>142</v>
      </c>
    </row>
    <row r="44" spans="2:5" x14ac:dyDescent="0.3">
      <c r="B44">
        <v>41</v>
      </c>
      <c r="C44" t="s">
        <v>326</v>
      </c>
      <c r="D44" t="s">
        <v>376</v>
      </c>
      <c r="E44" t="s">
        <v>138</v>
      </c>
    </row>
    <row r="45" spans="2:5" x14ac:dyDescent="0.3">
      <c r="B45">
        <v>42</v>
      </c>
      <c r="C45" t="s">
        <v>327</v>
      </c>
      <c r="D45" t="s">
        <v>377</v>
      </c>
      <c r="E45" t="s">
        <v>138</v>
      </c>
    </row>
    <row r="46" spans="2:5" x14ac:dyDescent="0.3">
      <c r="B46">
        <v>43</v>
      </c>
      <c r="C46" t="s">
        <v>328</v>
      </c>
      <c r="D46" t="s">
        <v>378</v>
      </c>
      <c r="E46" t="s">
        <v>138</v>
      </c>
    </row>
    <row r="47" spans="2:5" x14ac:dyDescent="0.3">
      <c r="B47">
        <v>44</v>
      </c>
      <c r="C47" t="s">
        <v>329</v>
      </c>
      <c r="D47" t="s">
        <v>379</v>
      </c>
      <c r="E47" t="s">
        <v>138</v>
      </c>
    </row>
    <row r="48" spans="2:5" x14ac:dyDescent="0.3">
      <c r="B48">
        <v>45</v>
      </c>
      <c r="C48" t="s">
        <v>330</v>
      </c>
      <c r="D48" t="s">
        <v>380</v>
      </c>
      <c r="E48" t="s">
        <v>138</v>
      </c>
    </row>
    <row r="49" spans="2:5" x14ac:dyDescent="0.3">
      <c r="B49">
        <v>46</v>
      </c>
      <c r="C49" t="s">
        <v>331</v>
      </c>
      <c r="D49" t="s">
        <v>381</v>
      </c>
      <c r="E49" t="s">
        <v>142</v>
      </c>
    </row>
    <row r="50" spans="2:5" x14ac:dyDescent="0.3">
      <c r="B50">
        <v>47</v>
      </c>
      <c r="C50" t="s">
        <v>332</v>
      </c>
      <c r="D50" t="s">
        <v>382</v>
      </c>
      <c r="E50" t="s">
        <v>138</v>
      </c>
    </row>
    <row r="51" spans="2:5" x14ac:dyDescent="0.3">
      <c r="B51">
        <v>48</v>
      </c>
      <c r="C51" t="s">
        <v>333</v>
      </c>
      <c r="D51" t="s">
        <v>383</v>
      </c>
      <c r="E51" t="s">
        <v>138</v>
      </c>
    </row>
    <row r="52" spans="2:5" x14ac:dyDescent="0.3">
      <c r="B52">
        <v>49</v>
      </c>
      <c r="C52" t="s">
        <v>334</v>
      </c>
      <c r="D52" t="s">
        <v>384</v>
      </c>
      <c r="E52" t="s">
        <v>142</v>
      </c>
    </row>
    <row r="53" spans="2:5" x14ac:dyDescent="0.3">
      <c r="B53">
        <v>50</v>
      </c>
      <c r="C53" t="s">
        <v>335</v>
      </c>
      <c r="D53" t="s">
        <v>385</v>
      </c>
      <c r="E53" t="s">
        <v>142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S51"/>
  <sheetViews>
    <sheetView zoomScale="85" zoomScaleNormal="85" workbookViewId="0">
      <pane xSplit="1" ySplit="1" topLeftCell="N2" activePane="bottomRight" state="frozen"/>
      <selection pane="topRight" activeCell="B1" sqref="B1"/>
      <selection pane="bottomLeft" activeCell="A2" sqref="A2"/>
      <selection pane="bottomRight" activeCell="U10" sqref="U10"/>
    </sheetView>
  </sheetViews>
  <sheetFormatPr defaultRowHeight="14.4" x14ac:dyDescent="0.3"/>
  <cols>
    <col min="1" max="1" width="9.88671875" bestFit="1" customWidth="1"/>
    <col min="2" max="2" width="26" customWidth="1"/>
    <col min="3" max="3" width="8" customWidth="1"/>
    <col min="4" max="4" width="12" customWidth="1"/>
    <col min="5" max="5" width="11.88671875" bestFit="1" customWidth="1"/>
    <col min="6" max="6" width="13.88671875" bestFit="1" customWidth="1"/>
    <col min="7" max="7" width="12.21875" style="24" bestFit="1" customWidth="1"/>
    <col min="8" max="8" width="13.44140625" customWidth="1"/>
    <col min="9" max="9" width="9.109375" customWidth="1"/>
    <col min="10" max="10" width="12.88671875" bestFit="1" customWidth="1"/>
    <col min="11" max="11" width="15.5546875" customWidth="1"/>
    <col min="12" max="12" width="13.88671875" customWidth="1"/>
    <col min="13" max="13" width="26.88671875" customWidth="1"/>
    <col min="14" max="14" width="11.6640625" bestFit="1" customWidth="1"/>
    <col min="15" max="15" width="10.44140625" customWidth="1"/>
    <col min="16" max="16" width="10.33203125" bestFit="1" customWidth="1"/>
    <col min="17" max="17" width="16" customWidth="1"/>
    <col min="18" max="18" width="24" bestFit="1" customWidth="1"/>
    <col min="19" max="19" width="12.5546875" style="51" customWidth="1"/>
  </cols>
  <sheetData>
    <row r="1" spans="1:19" s="1" customFormat="1" x14ac:dyDescent="0.3">
      <c r="A1" s="5" t="s">
        <v>222</v>
      </c>
      <c r="B1" s="6" t="s">
        <v>221</v>
      </c>
      <c r="C1" s="5" t="s">
        <v>0</v>
      </c>
      <c r="D1" s="5" t="s">
        <v>1</v>
      </c>
      <c r="E1" s="5" t="s">
        <v>2</v>
      </c>
      <c r="F1" s="5" t="s">
        <v>3</v>
      </c>
      <c r="G1" s="23" t="s">
        <v>4</v>
      </c>
      <c r="H1" s="5" t="s">
        <v>5</v>
      </c>
      <c r="I1" s="5" t="s">
        <v>170</v>
      </c>
      <c r="J1" s="5" t="s">
        <v>137</v>
      </c>
      <c r="K1" s="5" t="s">
        <v>228</v>
      </c>
      <c r="L1" s="5" t="s">
        <v>136</v>
      </c>
      <c r="M1" s="5" t="s">
        <v>233</v>
      </c>
      <c r="N1" s="7" t="s">
        <v>246</v>
      </c>
      <c r="O1" s="5" t="s">
        <v>207</v>
      </c>
      <c r="P1" s="5" t="s">
        <v>208</v>
      </c>
      <c r="Q1" s="5" t="s">
        <v>238</v>
      </c>
      <c r="R1" s="5" t="s">
        <v>172</v>
      </c>
      <c r="S1" s="50" t="s">
        <v>239</v>
      </c>
    </row>
    <row r="2" spans="1:19" x14ac:dyDescent="0.3">
      <c r="A2" s="33">
        <v>1</v>
      </c>
      <c r="B2" s="3" t="str">
        <f>UPPER(_xlfn.CONCAT(D2," ",E2," ",F2))</f>
        <v>ANNIE  ABBOTT</v>
      </c>
      <c r="C2" s="3" t="s">
        <v>6</v>
      </c>
      <c r="D2" s="3" t="s">
        <v>7</v>
      </c>
      <c r="E2" s="3"/>
      <c r="F2" s="3" t="s">
        <v>8</v>
      </c>
      <c r="G2" s="34">
        <v>35699</v>
      </c>
      <c r="H2" s="3" t="s">
        <v>9</v>
      </c>
      <c r="I2" s="3" t="s">
        <v>138</v>
      </c>
      <c r="J2" s="4" t="s">
        <v>141</v>
      </c>
      <c r="K2" s="4" t="str">
        <f>HLOOKUP(J2,LOCATION!$B$2:$M$3,2,FALSE)</f>
        <v>USA</v>
      </c>
      <c r="L2" s="4" t="str">
        <f>_xlfn.XLOOKUP(K2,LOCATION!$B$3:$M$3,LOCATION!$B$1:$M$1,,0)</f>
        <v>English</v>
      </c>
      <c r="M2" s="4" t="str">
        <f>LOWER(_xlfn.CONCAT(F2,".",D2,IF(L2="English","@xyz.org","@xyz.com")))</f>
        <v>abbott.annie@xyz.org</v>
      </c>
      <c r="N2" s="35">
        <v>94</v>
      </c>
      <c r="O2" s="3" t="s">
        <v>209</v>
      </c>
      <c r="P2" s="3" t="s">
        <v>210</v>
      </c>
      <c r="Q2" s="3" t="str">
        <f>_xlfn.XLOOKUP(R2,SPORT!$B$2:$B$33,SPORT!$A$2:$A$33)</f>
        <v>INDOOR</v>
      </c>
      <c r="R2" s="3" t="s">
        <v>174</v>
      </c>
      <c r="S2" s="49">
        <v>80727</v>
      </c>
    </row>
    <row r="3" spans="1:19" x14ac:dyDescent="0.3">
      <c r="A3" s="33">
        <v>2</v>
      </c>
      <c r="B3" s="3" t="str">
        <f t="shared" ref="B3:B51" si="0">UPPER(_xlfn.CONCAT(D3," ",E3," ",F3))</f>
        <v>AURELIE  LIESUCHKE</v>
      </c>
      <c r="C3" s="2" t="s">
        <v>6</v>
      </c>
      <c r="D3" s="2" t="s">
        <v>10</v>
      </c>
      <c r="E3" s="2"/>
      <c r="F3" s="2" t="s">
        <v>11</v>
      </c>
      <c r="G3" s="34">
        <v>33641</v>
      </c>
      <c r="H3" s="2" t="s">
        <v>12</v>
      </c>
      <c r="I3" s="2" t="s">
        <v>138</v>
      </c>
      <c r="J3" s="4" t="s">
        <v>141</v>
      </c>
      <c r="K3" s="4" t="str">
        <f>HLOOKUP(J3,LOCATION!$B$2:$M$3,2,FALSE)</f>
        <v>USA</v>
      </c>
      <c r="L3" s="4" t="str">
        <f>_xlfn.XLOOKUP(K3,LOCATION!$B$3:$M$3,LOCATION!$B$1:$M$1,,0)</f>
        <v>English</v>
      </c>
      <c r="M3" s="4" t="str">
        <f t="shared" ref="M3:M51" si="1">LOWER(_xlfn.CONCAT(F3,".",D3,IF(L3="English","@xyz.org","@xyz.com")))</f>
        <v>liesuchke.aurelie@xyz.org</v>
      </c>
      <c r="N3" s="35">
        <v>84.2</v>
      </c>
      <c r="O3" s="2" t="s">
        <v>211</v>
      </c>
      <c r="P3" s="2" t="s">
        <v>212</v>
      </c>
      <c r="Q3" s="3" t="str">
        <f>_xlfn.XLOOKUP(R3,SPORT!$B$2:$B$33,SPORT!$A$2:$A$33)</f>
        <v>INDOOR</v>
      </c>
      <c r="R3" s="2" t="s">
        <v>175</v>
      </c>
      <c r="S3" s="49">
        <v>87471</v>
      </c>
    </row>
    <row r="4" spans="1:19" x14ac:dyDescent="0.3">
      <c r="A4" s="33">
        <v>3</v>
      </c>
      <c r="B4" s="3" t="str">
        <f t="shared" si="0"/>
        <v>TOMAS FERREIRA FILHO</v>
      </c>
      <c r="C4" s="2" t="s">
        <v>13</v>
      </c>
      <c r="D4" s="2" t="s">
        <v>14</v>
      </c>
      <c r="E4" s="2" t="s">
        <v>15</v>
      </c>
      <c r="F4" s="2" t="s">
        <v>16</v>
      </c>
      <c r="G4" s="34">
        <v>25394</v>
      </c>
      <c r="H4" s="2" t="s">
        <v>17</v>
      </c>
      <c r="I4" s="2" t="s">
        <v>142</v>
      </c>
      <c r="J4" s="4" t="s">
        <v>145</v>
      </c>
      <c r="K4" s="4" t="str">
        <f>HLOOKUP(J4,LOCATION!$B$2:$M$3,2,FALSE)</f>
        <v>BRAZIL</v>
      </c>
      <c r="L4" s="4" t="str">
        <f>_xlfn.XLOOKUP(K4,LOCATION!$B$3:$M$3,LOCATION!$B$1:$M$1,,0)</f>
        <v>Portuguese</v>
      </c>
      <c r="M4" s="4" t="str">
        <f t="shared" si="1"/>
        <v>filho.tomas@xyz.com</v>
      </c>
      <c r="N4" s="35">
        <v>52.9</v>
      </c>
      <c r="O4" s="2" t="s">
        <v>213</v>
      </c>
      <c r="P4" s="2" t="s">
        <v>210</v>
      </c>
      <c r="Q4" s="3" t="str">
        <f>_xlfn.XLOOKUP(R4,SPORT!$B$2:$B$33,SPORT!$A$2:$A$33)</f>
        <v>OUTDOOR</v>
      </c>
      <c r="R4" s="2" t="s">
        <v>177</v>
      </c>
      <c r="S4" s="49">
        <v>64724</v>
      </c>
    </row>
    <row r="5" spans="1:19" x14ac:dyDescent="0.3">
      <c r="A5" s="33">
        <v>4</v>
      </c>
      <c r="B5" s="3" t="str">
        <f t="shared" si="0"/>
        <v>DARBY  CRUICKSHANK</v>
      </c>
      <c r="C5" s="2" t="s">
        <v>6</v>
      </c>
      <c r="D5" s="2" t="s">
        <v>18</v>
      </c>
      <c r="E5" s="2"/>
      <c r="F5" s="2" t="s">
        <v>19</v>
      </c>
      <c r="G5" s="34">
        <v>27532</v>
      </c>
      <c r="H5" s="2" t="s">
        <v>20</v>
      </c>
      <c r="I5" s="2" t="s">
        <v>138</v>
      </c>
      <c r="J5" s="4" t="s">
        <v>141</v>
      </c>
      <c r="K5" s="4" t="str">
        <f>HLOOKUP(J5,LOCATION!$B$2:$M$3,2,FALSE)</f>
        <v>USA</v>
      </c>
      <c r="L5" s="4" t="str">
        <f>_xlfn.XLOOKUP(K5,LOCATION!$B$3:$M$3,LOCATION!$B$1:$M$1,,0)</f>
        <v>English</v>
      </c>
      <c r="M5" s="4" t="str">
        <f t="shared" si="1"/>
        <v>cruickshank.darby@xyz.org</v>
      </c>
      <c r="N5" s="35">
        <v>48.9</v>
      </c>
      <c r="O5" s="2" t="s">
        <v>209</v>
      </c>
      <c r="P5" s="2" t="s">
        <v>212</v>
      </c>
      <c r="Q5" s="3" t="str">
        <f>_xlfn.XLOOKUP(R5,SPORT!$B$2:$B$33,SPORT!$A$2:$A$33)</f>
        <v>OUTDOOR</v>
      </c>
      <c r="R5" s="2" t="s">
        <v>178</v>
      </c>
      <c r="S5" s="49">
        <v>110823</v>
      </c>
    </row>
    <row r="6" spans="1:19" x14ac:dyDescent="0.3">
      <c r="A6" s="33">
        <v>5</v>
      </c>
      <c r="B6" s="3" t="str">
        <f t="shared" si="0"/>
        <v>JAYDON  BORER</v>
      </c>
      <c r="C6" s="2" t="s">
        <v>21</v>
      </c>
      <c r="D6" s="2" t="s">
        <v>22</v>
      </c>
      <c r="E6" s="2"/>
      <c r="F6" s="2" t="s">
        <v>23</v>
      </c>
      <c r="G6" s="34">
        <v>25706</v>
      </c>
      <c r="H6" s="2" t="s">
        <v>20</v>
      </c>
      <c r="I6" s="2" t="s">
        <v>142</v>
      </c>
      <c r="J6" s="4" t="s">
        <v>141</v>
      </c>
      <c r="K6" s="4" t="str">
        <f>HLOOKUP(J6,LOCATION!$B$2:$M$3,2,FALSE)</f>
        <v>USA</v>
      </c>
      <c r="L6" s="4" t="str">
        <f>_xlfn.XLOOKUP(K6,LOCATION!$B$3:$M$3,LOCATION!$B$1:$M$1,,0)</f>
        <v>English</v>
      </c>
      <c r="M6" s="4" t="str">
        <f t="shared" si="1"/>
        <v>borer.jaydon@xyz.org</v>
      </c>
      <c r="N6" s="35">
        <v>84.8</v>
      </c>
      <c r="O6" s="2" t="s">
        <v>214</v>
      </c>
      <c r="P6" s="2" t="s">
        <v>215</v>
      </c>
      <c r="Q6" s="3" t="str">
        <f>_xlfn.XLOOKUP(R6,SPORT!$B$2:$B$33,SPORT!$A$2:$A$33)</f>
        <v>INDOOR</v>
      </c>
      <c r="R6" s="2" t="s">
        <v>179</v>
      </c>
      <c r="S6" s="49">
        <v>56916</v>
      </c>
    </row>
    <row r="7" spans="1:19" x14ac:dyDescent="0.3">
      <c r="A7" s="33">
        <v>6</v>
      </c>
      <c r="B7" s="3" t="str">
        <f t="shared" si="0"/>
        <v>MORIAH   LYNCH</v>
      </c>
      <c r="C7" s="2" t="s">
        <v>24</v>
      </c>
      <c r="D7" s="2" t="s">
        <v>25</v>
      </c>
      <c r="E7" s="2"/>
      <c r="F7" s="2" t="s">
        <v>26</v>
      </c>
      <c r="G7" s="34">
        <v>33944</v>
      </c>
      <c r="H7" s="2" t="s">
        <v>27</v>
      </c>
      <c r="I7" s="2" t="s">
        <v>142</v>
      </c>
      <c r="J7" s="4" t="s">
        <v>141</v>
      </c>
      <c r="K7" s="4" t="str">
        <f>HLOOKUP(J7,LOCATION!$B$2:$M$3,2,FALSE)</f>
        <v>USA</v>
      </c>
      <c r="L7" s="4" t="str">
        <f>_xlfn.XLOOKUP(K7,LOCATION!$B$3:$M$3,LOCATION!$B$1:$M$1,,0)</f>
        <v>English</v>
      </c>
      <c r="M7" s="4" t="str">
        <f t="shared" si="1"/>
        <v>lynch.moriah @xyz.org</v>
      </c>
      <c r="N7" s="35">
        <v>83.2</v>
      </c>
      <c r="O7" s="2" t="s">
        <v>214</v>
      </c>
      <c r="P7" s="2" t="s">
        <v>212</v>
      </c>
      <c r="Q7" s="3" t="str">
        <f>_xlfn.XLOOKUP(R7,SPORT!$B$2:$B$33,SPORT!$A$2:$A$33)</f>
        <v>INDOOR</v>
      </c>
      <c r="R7" s="2" t="s">
        <v>180</v>
      </c>
      <c r="S7" s="49">
        <v>51133</v>
      </c>
    </row>
    <row r="8" spans="1:19" x14ac:dyDescent="0.3">
      <c r="A8" s="33">
        <v>7</v>
      </c>
      <c r="B8" s="3" t="str">
        <f t="shared" si="0"/>
        <v>AMIYA  EICHMANN</v>
      </c>
      <c r="C8" s="2" t="s">
        <v>6</v>
      </c>
      <c r="D8" s="2" t="s">
        <v>28</v>
      </c>
      <c r="E8" s="2"/>
      <c r="F8" s="2" t="s">
        <v>29</v>
      </c>
      <c r="G8" s="34">
        <v>36370</v>
      </c>
      <c r="H8" s="2" t="s">
        <v>30</v>
      </c>
      <c r="I8" s="2" t="s">
        <v>138</v>
      </c>
      <c r="J8" s="4" t="s">
        <v>141</v>
      </c>
      <c r="K8" s="4" t="str">
        <f>HLOOKUP(J8,LOCATION!$B$2:$M$3,2,FALSE)</f>
        <v>USA</v>
      </c>
      <c r="L8" s="4" t="str">
        <f>_xlfn.XLOOKUP(K8,LOCATION!$B$3:$M$3,LOCATION!$B$1:$M$1,,0)</f>
        <v>English</v>
      </c>
      <c r="M8" s="4" t="str">
        <f t="shared" si="1"/>
        <v>eichmann.amiya@xyz.org</v>
      </c>
      <c r="N8" s="35">
        <v>61.1</v>
      </c>
      <c r="O8" s="2" t="s">
        <v>214</v>
      </c>
      <c r="P8" s="2" t="s">
        <v>215</v>
      </c>
      <c r="Q8" s="3" t="str">
        <f>_xlfn.XLOOKUP(R8,SPORT!$B$2:$B$33,SPORT!$A$2:$A$33)</f>
        <v>OUTDOOR</v>
      </c>
      <c r="R8" s="2" t="s">
        <v>181</v>
      </c>
      <c r="S8" s="49">
        <v>65465</v>
      </c>
    </row>
    <row r="9" spans="1:19" x14ac:dyDescent="0.3">
      <c r="A9" s="33">
        <v>8</v>
      </c>
      <c r="B9" s="3" t="str">
        <f t="shared" si="0"/>
        <v>PIERCE  RAU</v>
      </c>
      <c r="C9" s="2" t="s">
        <v>24</v>
      </c>
      <c r="D9" s="2" t="s">
        <v>31</v>
      </c>
      <c r="E9" s="2"/>
      <c r="F9" s="2" t="s">
        <v>32</v>
      </c>
      <c r="G9" s="34">
        <v>23141</v>
      </c>
      <c r="H9" s="2" t="s">
        <v>20</v>
      </c>
      <c r="I9" s="2" t="s">
        <v>142</v>
      </c>
      <c r="J9" s="4" t="s">
        <v>141</v>
      </c>
      <c r="K9" s="4" t="str">
        <f>HLOOKUP(J9,LOCATION!$B$2:$M$3,2,FALSE)</f>
        <v>USA</v>
      </c>
      <c r="L9" s="4" t="str">
        <f>_xlfn.XLOOKUP(K9,LOCATION!$B$3:$M$3,LOCATION!$B$1:$M$1,,0)</f>
        <v>English</v>
      </c>
      <c r="M9" s="4" t="str">
        <f t="shared" si="1"/>
        <v>rau.pierce@xyz.org</v>
      </c>
      <c r="N9" s="35">
        <v>105.7</v>
      </c>
      <c r="O9" s="2" t="s">
        <v>213</v>
      </c>
      <c r="P9" s="2" t="s">
        <v>216</v>
      </c>
      <c r="Q9" s="3" t="str">
        <f>_xlfn.XLOOKUP(R9,SPORT!$B$2:$B$33,SPORT!$A$2:$A$33)</f>
        <v>INDOOR</v>
      </c>
      <c r="R9" s="2" t="s">
        <v>182</v>
      </c>
      <c r="S9" s="49">
        <v>109885</v>
      </c>
    </row>
    <row r="10" spans="1:19" x14ac:dyDescent="0.3">
      <c r="A10" s="33">
        <v>9</v>
      </c>
      <c r="B10" s="3" t="str">
        <f t="shared" si="0"/>
        <v>AMELIA  STEVENS</v>
      </c>
      <c r="C10" s="2" t="s">
        <v>6</v>
      </c>
      <c r="D10" s="2" t="s">
        <v>33</v>
      </c>
      <c r="E10" s="2"/>
      <c r="F10" s="2" t="s">
        <v>34</v>
      </c>
      <c r="G10" s="34">
        <v>25965</v>
      </c>
      <c r="H10" s="2" t="s">
        <v>12</v>
      </c>
      <c r="I10" s="2" t="s">
        <v>138</v>
      </c>
      <c r="J10" s="4" t="s">
        <v>147</v>
      </c>
      <c r="K10" s="4" t="str">
        <f>HLOOKUP(J10,LOCATION!$B$2:$M$3,2,FALSE)</f>
        <v>UK</v>
      </c>
      <c r="L10" s="4" t="str">
        <f>_xlfn.XLOOKUP(K10,LOCATION!$B$3:$M$3,LOCATION!$B$1:$M$1,,0)</f>
        <v>English</v>
      </c>
      <c r="M10" s="4" t="str">
        <f t="shared" si="1"/>
        <v>stevens.amelia@xyz.org</v>
      </c>
      <c r="N10" s="35">
        <v>65.3</v>
      </c>
      <c r="O10" s="2" t="s">
        <v>214</v>
      </c>
      <c r="P10" s="2" t="s">
        <v>216</v>
      </c>
      <c r="Q10" s="3" t="str">
        <f>_xlfn.XLOOKUP(R10,SPORT!$B$2:$B$33,SPORT!$A$2:$A$33)</f>
        <v>INDOOR</v>
      </c>
      <c r="R10" s="2" t="s">
        <v>183</v>
      </c>
      <c r="S10" s="49">
        <v>60061</v>
      </c>
    </row>
    <row r="11" spans="1:19" x14ac:dyDescent="0.3">
      <c r="A11" s="33">
        <v>10</v>
      </c>
      <c r="B11" s="3" t="str">
        <f t="shared" si="0"/>
        <v>TOBY  SIMPSON</v>
      </c>
      <c r="C11" s="2" t="s">
        <v>24</v>
      </c>
      <c r="D11" s="2" t="s">
        <v>35</v>
      </c>
      <c r="E11" s="2"/>
      <c r="F11" s="2" t="s">
        <v>36</v>
      </c>
      <c r="G11" s="34">
        <v>23732</v>
      </c>
      <c r="H11" s="2" t="s">
        <v>27</v>
      </c>
      <c r="I11" s="2" t="s">
        <v>142</v>
      </c>
      <c r="J11" s="4" t="s">
        <v>147</v>
      </c>
      <c r="K11" s="4" t="str">
        <f>HLOOKUP(J11,LOCATION!$B$2:$M$3,2,FALSE)</f>
        <v>UK</v>
      </c>
      <c r="L11" s="4" t="str">
        <f>_xlfn.XLOOKUP(K11,LOCATION!$B$3:$M$3,LOCATION!$B$1:$M$1,,0)</f>
        <v>English</v>
      </c>
      <c r="M11" s="4" t="str">
        <f t="shared" si="1"/>
        <v>simpson.toby@xyz.org</v>
      </c>
      <c r="N11" s="35">
        <v>62.9</v>
      </c>
      <c r="O11" s="2" t="s">
        <v>213</v>
      </c>
      <c r="P11" s="2" t="s">
        <v>217</v>
      </c>
      <c r="Q11" s="3" t="str">
        <f>_xlfn.XLOOKUP(R11,SPORT!$B$2:$B$33,SPORT!$A$2:$A$33)</f>
        <v>OUTDOOR</v>
      </c>
      <c r="R11" s="2" t="s">
        <v>181</v>
      </c>
      <c r="S11" s="49">
        <v>32758</v>
      </c>
    </row>
    <row r="12" spans="1:19" x14ac:dyDescent="0.3">
      <c r="A12" s="33">
        <v>11</v>
      </c>
      <c r="B12" s="3" t="str">
        <f t="shared" si="0"/>
        <v>ETHAN  MURPHY</v>
      </c>
      <c r="C12" s="2" t="s">
        <v>37</v>
      </c>
      <c r="D12" s="2" t="s">
        <v>38</v>
      </c>
      <c r="E12" s="2"/>
      <c r="F12" s="2" t="s">
        <v>39</v>
      </c>
      <c r="G12" s="34">
        <v>31733</v>
      </c>
      <c r="H12" s="2" t="s">
        <v>40</v>
      </c>
      <c r="I12" s="2" t="s">
        <v>142</v>
      </c>
      <c r="J12" s="4" t="s">
        <v>147</v>
      </c>
      <c r="K12" s="4" t="str">
        <f>HLOOKUP(J12,LOCATION!$B$2:$M$3,2,FALSE)</f>
        <v>UK</v>
      </c>
      <c r="L12" s="4" t="str">
        <f>_xlfn.XLOOKUP(K12,LOCATION!$B$3:$M$3,LOCATION!$B$1:$M$1,,0)</f>
        <v>English</v>
      </c>
      <c r="M12" s="4" t="str">
        <f t="shared" si="1"/>
        <v>murphy.ethan@xyz.org</v>
      </c>
      <c r="N12" s="35">
        <v>104.3</v>
      </c>
      <c r="O12" s="2" t="s">
        <v>211</v>
      </c>
      <c r="P12" s="2" t="s">
        <v>217</v>
      </c>
      <c r="Q12" s="3" t="str">
        <f>_xlfn.XLOOKUP(R12,SPORT!$B$2:$B$33,SPORT!$A$2:$A$33)</f>
        <v>OUTDOOR</v>
      </c>
      <c r="R12" s="2" t="s">
        <v>184</v>
      </c>
      <c r="S12" s="49">
        <v>99613</v>
      </c>
    </row>
    <row r="13" spans="1:19" x14ac:dyDescent="0.3">
      <c r="A13" s="33">
        <v>12</v>
      </c>
      <c r="B13" s="3" t="str">
        <f t="shared" si="0"/>
        <v>ASHLEY  WOOD</v>
      </c>
      <c r="C13" s="2" t="s">
        <v>41</v>
      </c>
      <c r="D13" s="2" t="s">
        <v>42</v>
      </c>
      <c r="E13" s="2"/>
      <c r="F13" s="2" t="s">
        <v>43</v>
      </c>
      <c r="G13" s="34">
        <v>28412</v>
      </c>
      <c r="H13" s="2" t="s">
        <v>9</v>
      </c>
      <c r="I13" s="2" t="s">
        <v>138</v>
      </c>
      <c r="J13" s="4" t="s">
        <v>147</v>
      </c>
      <c r="K13" s="4" t="str">
        <f>HLOOKUP(J13,LOCATION!$B$2:$M$3,2,FALSE)</f>
        <v>UK</v>
      </c>
      <c r="L13" s="4" t="str">
        <f>_xlfn.XLOOKUP(K13,LOCATION!$B$3:$M$3,LOCATION!$B$1:$M$1,,0)</f>
        <v>English</v>
      </c>
      <c r="M13" s="4" t="str">
        <f t="shared" si="1"/>
        <v>wood.ashley@xyz.org</v>
      </c>
      <c r="N13" s="35">
        <v>100.7</v>
      </c>
      <c r="O13" s="2" t="s">
        <v>211</v>
      </c>
      <c r="P13" s="2" t="s">
        <v>217</v>
      </c>
      <c r="Q13" s="3" t="str">
        <f>_xlfn.XLOOKUP(R13,SPORT!$B$2:$B$33,SPORT!$A$2:$A$33)</f>
        <v>OUTDOOR</v>
      </c>
      <c r="R13" s="2" t="s">
        <v>185</v>
      </c>
      <c r="S13" s="49">
        <v>56595</v>
      </c>
    </row>
    <row r="14" spans="1:19" x14ac:dyDescent="0.3">
      <c r="A14" s="33">
        <v>13</v>
      </c>
      <c r="B14" s="3" t="str">
        <f t="shared" si="0"/>
        <v>MEGAN  SCOTT</v>
      </c>
      <c r="C14" s="2" t="s">
        <v>6</v>
      </c>
      <c r="D14" s="2" t="s">
        <v>44</v>
      </c>
      <c r="E14" s="2"/>
      <c r="F14" s="2" t="s">
        <v>45</v>
      </c>
      <c r="G14" s="34">
        <v>28168</v>
      </c>
      <c r="H14" s="2" t="s">
        <v>12</v>
      </c>
      <c r="I14" s="2" t="s">
        <v>138</v>
      </c>
      <c r="J14" s="4" t="s">
        <v>147</v>
      </c>
      <c r="K14" s="4" t="str">
        <f>HLOOKUP(J14,LOCATION!$B$2:$M$3,2,FALSE)</f>
        <v>UK</v>
      </c>
      <c r="L14" s="4" t="str">
        <f>_xlfn.XLOOKUP(K14,LOCATION!$B$3:$M$3,LOCATION!$B$1:$M$1,,0)</f>
        <v>English</v>
      </c>
      <c r="M14" s="4" t="str">
        <f t="shared" si="1"/>
        <v>scott.megan@xyz.org</v>
      </c>
      <c r="N14" s="35">
        <v>70.900000000000006</v>
      </c>
      <c r="O14" s="2" t="s">
        <v>209</v>
      </c>
      <c r="P14" s="2" t="s">
        <v>210</v>
      </c>
      <c r="Q14" s="3" t="str">
        <f>_xlfn.XLOOKUP(R14,SPORT!$B$2:$B$33,SPORT!$A$2:$A$33)</f>
        <v>OUTDOOR</v>
      </c>
      <c r="R14" s="2" t="s">
        <v>186</v>
      </c>
      <c r="S14" s="49">
        <v>117408</v>
      </c>
    </row>
    <row r="15" spans="1:19" x14ac:dyDescent="0.3">
      <c r="A15" s="33">
        <v>14</v>
      </c>
      <c r="B15" s="3" t="str">
        <f t="shared" si="0"/>
        <v>HELMUT  WEINHAE</v>
      </c>
      <c r="C15" s="2" t="s">
        <v>46</v>
      </c>
      <c r="D15" s="2" t="s">
        <v>47</v>
      </c>
      <c r="E15" s="2"/>
      <c r="F15" s="2" t="s">
        <v>48</v>
      </c>
      <c r="G15" s="34">
        <v>21788</v>
      </c>
      <c r="H15" s="2" t="s">
        <v>49</v>
      </c>
      <c r="I15" s="2" t="s">
        <v>142</v>
      </c>
      <c r="J15" s="4" t="s">
        <v>150</v>
      </c>
      <c r="K15" s="4" t="str">
        <f>HLOOKUP(J15,LOCATION!$B$2:$M$3,2,FALSE)</f>
        <v>GERMANY</v>
      </c>
      <c r="L15" s="4" t="str">
        <f>_xlfn.XLOOKUP(K15,LOCATION!$B$3:$M$3,LOCATION!$B$1:$M$1,,0)</f>
        <v>German</v>
      </c>
      <c r="M15" s="4" t="str">
        <f t="shared" si="1"/>
        <v>weinhae.helmut@xyz.com</v>
      </c>
      <c r="N15" s="35">
        <v>68.3</v>
      </c>
      <c r="O15" s="2" t="s">
        <v>218</v>
      </c>
      <c r="P15" s="2" t="s">
        <v>216</v>
      </c>
      <c r="Q15" s="3" t="str">
        <f>_xlfn.XLOOKUP(R15,SPORT!$B$2:$B$33,SPORT!$A$2:$A$33)</f>
        <v>OUTDOOR</v>
      </c>
      <c r="R15" s="2" t="s">
        <v>187</v>
      </c>
      <c r="S15" s="49">
        <v>64862</v>
      </c>
    </row>
    <row r="16" spans="1:19" x14ac:dyDescent="0.3">
      <c r="A16" s="33">
        <v>15</v>
      </c>
      <c r="B16" s="3" t="str">
        <f t="shared" si="0"/>
        <v>MILENA  SCHOTIN</v>
      </c>
      <c r="C16" s="2" t="s">
        <v>50</v>
      </c>
      <c r="D16" s="2" t="s">
        <v>51</v>
      </c>
      <c r="E16" s="2"/>
      <c r="F16" s="2" t="s">
        <v>52</v>
      </c>
      <c r="G16" s="34">
        <v>23804</v>
      </c>
      <c r="H16" s="2" t="s">
        <v>53</v>
      </c>
      <c r="I16" s="2" t="s">
        <v>138</v>
      </c>
      <c r="J16" s="4" t="s">
        <v>150</v>
      </c>
      <c r="K16" s="4" t="str">
        <f>HLOOKUP(J16,LOCATION!$B$2:$M$3,2,FALSE)</f>
        <v>GERMANY</v>
      </c>
      <c r="L16" s="4" t="str">
        <f>_xlfn.XLOOKUP(K16,LOCATION!$B$3:$M$3,LOCATION!$B$1:$M$1,,0)</f>
        <v>German</v>
      </c>
      <c r="M16" s="4" t="str">
        <f t="shared" si="1"/>
        <v>schotin.milena@xyz.com</v>
      </c>
      <c r="N16" s="35">
        <v>105.3</v>
      </c>
      <c r="O16" s="2" t="s">
        <v>218</v>
      </c>
      <c r="P16" s="2" t="s">
        <v>217</v>
      </c>
      <c r="Q16" s="3" t="str">
        <f>_xlfn.XLOOKUP(R16,SPORT!$B$2:$B$33,SPORT!$A$2:$A$33)</f>
        <v>INDOOR</v>
      </c>
      <c r="R16" s="2" t="s">
        <v>188</v>
      </c>
      <c r="S16" s="49">
        <v>10241</v>
      </c>
    </row>
    <row r="17" spans="1:19" x14ac:dyDescent="0.3">
      <c r="A17" s="33">
        <v>16</v>
      </c>
      <c r="B17" s="3" t="str">
        <f t="shared" si="0"/>
        <v>LOTHAR  BIRNBAUM</v>
      </c>
      <c r="C17" s="2" t="s">
        <v>46</v>
      </c>
      <c r="D17" s="2" t="s">
        <v>54</v>
      </c>
      <c r="E17" s="2"/>
      <c r="F17" s="2" t="s">
        <v>55</v>
      </c>
      <c r="G17" s="34">
        <v>25405</v>
      </c>
      <c r="H17" s="2" t="s">
        <v>17</v>
      </c>
      <c r="I17" s="2" t="s">
        <v>142</v>
      </c>
      <c r="J17" s="4" t="s">
        <v>150</v>
      </c>
      <c r="K17" s="4" t="str">
        <f>HLOOKUP(J17,LOCATION!$B$2:$M$3,2,FALSE)</f>
        <v>GERMANY</v>
      </c>
      <c r="L17" s="4" t="str">
        <f>_xlfn.XLOOKUP(K17,LOCATION!$B$3:$M$3,LOCATION!$B$1:$M$1,,0)</f>
        <v>German</v>
      </c>
      <c r="M17" s="4" t="str">
        <f t="shared" si="1"/>
        <v>birnbaum.lothar@xyz.com</v>
      </c>
      <c r="N17" s="35">
        <v>48.6</v>
      </c>
      <c r="O17" s="2" t="s">
        <v>214</v>
      </c>
      <c r="P17" s="2" t="s">
        <v>217</v>
      </c>
      <c r="Q17" s="3" t="str">
        <f>_xlfn.XLOOKUP(R17,SPORT!$B$2:$B$33,SPORT!$A$2:$A$33)</f>
        <v>OUTDOOR</v>
      </c>
      <c r="R17" s="2" t="s">
        <v>178</v>
      </c>
      <c r="S17" s="49">
        <v>88762</v>
      </c>
    </row>
    <row r="18" spans="1:19" x14ac:dyDescent="0.3">
      <c r="A18" s="33">
        <v>17</v>
      </c>
      <c r="B18" s="3" t="str">
        <f t="shared" si="0"/>
        <v>PIETRO  STOLZE</v>
      </c>
      <c r="C18" s="2" t="s">
        <v>46</v>
      </c>
      <c r="D18" s="2" t="s">
        <v>56</v>
      </c>
      <c r="E18" s="2"/>
      <c r="F18" s="2" t="s">
        <v>57</v>
      </c>
      <c r="G18" s="34">
        <v>26582</v>
      </c>
      <c r="H18" s="2" t="s">
        <v>9</v>
      </c>
      <c r="I18" s="2" t="s">
        <v>142</v>
      </c>
      <c r="J18" s="4" t="s">
        <v>150</v>
      </c>
      <c r="K18" s="4" t="str">
        <f>HLOOKUP(J18,LOCATION!$B$2:$M$3,2,FALSE)</f>
        <v>GERMANY</v>
      </c>
      <c r="L18" s="4" t="str">
        <f>_xlfn.XLOOKUP(K18,LOCATION!$B$3:$M$3,LOCATION!$B$1:$M$1,,0)</f>
        <v>German</v>
      </c>
      <c r="M18" s="4" t="str">
        <f t="shared" si="1"/>
        <v>stolze.pietro@xyz.com</v>
      </c>
      <c r="N18" s="35">
        <v>105.9</v>
      </c>
      <c r="O18" s="2" t="s">
        <v>214</v>
      </c>
      <c r="P18" s="2" t="s">
        <v>210</v>
      </c>
      <c r="Q18" s="3" t="str">
        <f>_xlfn.XLOOKUP(R18,SPORT!$B$2:$B$33,SPORT!$A$2:$A$33)</f>
        <v>INDOOR</v>
      </c>
      <c r="R18" s="2" t="s">
        <v>189</v>
      </c>
      <c r="S18" s="49">
        <v>80757</v>
      </c>
    </row>
    <row r="19" spans="1:19" x14ac:dyDescent="0.3">
      <c r="A19" s="33">
        <v>18</v>
      </c>
      <c r="B19" s="3" t="str">
        <f t="shared" si="0"/>
        <v>RICHARD   TLUSTEK</v>
      </c>
      <c r="C19" s="2" t="s">
        <v>46</v>
      </c>
      <c r="D19" s="2" t="s">
        <v>58</v>
      </c>
      <c r="E19" s="2"/>
      <c r="F19" s="2" t="s">
        <v>59</v>
      </c>
      <c r="G19" s="34">
        <v>21793</v>
      </c>
      <c r="H19" s="2" t="s">
        <v>49</v>
      </c>
      <c r="I19" s="2" t="s">
        <v>142</v>
      </c>
      <c r="J19" s="4" t="s">
        <v>150</v>
      </c>
      <c r="K19" s="4" t="str">
        <f>HLOOKUP(J19,LOCATION!$B$2:$M$3,2,FALSE)</f>
        <v>GERMANY</v>
      </c>
      <c r="L19" s="4" t="str">
        <f>_xlfn.XLOOKUP(K19,LOCATION!$B$3:$M$3,LOCATION!$B$1:$M$1,,0)</f>
        <v>German</v>
      </c>
      <c r="M19" s="4" t="str">
        <f t="shared" si="1"/>
        <v>tlustek.richard @xyz.com</v>
      </c>
      <c r="N19" s="35">
        <v>71.099999999999994</v>
      </c>
      <c r="O19" s="2" t="s">
        <v>214</v>
      </c>
      <c r="P19" s="2" t="s">
        <v>210</v>
      </c>
      <c r="Q19" s="3" t="str">
        <f>_xlfn.XLOOKUP(R19,SPORT!$B$2:$B$33,SPORT!$A$2:$A$33)</f>
        <v>OUTDOOR</v>
      </c>
      <c r="R19" s="2" t="s">
        <v>190</v>
      </c>
      <c r="S19" s="49">
        <v>88794</v>
      </c>
    </row>
    <row r="20" spans="1:19" x14ac:dyDescent="0.3">
      <c r="A20" s="33">
        <v>19</v>
      </c>
      <c r="B20" s="3" t="str">
        <f t="shared" si="0"/>
        <v>EARNESTINE  RAYNOR</v>
      </c>
      <c r="C20" s="2" t="s">
        <v>21</v>
      </c>
      <c r="D20" s="2" t="s">
        <v>60</v>
      </c>
      <c r="E20" s="2"/>
      <c r="F20" s="2" t="s">
        <v>61</v>
      </c>
      <c r="G20" s="34">
        <v>28262</v>
      </c>
      <c r="H20" s="2" t="s">
        <v>20</v>
      </c>
      <c r="I20" s="2" t="s">
        <v>138</v>
      </c>
      <c r="J20" s="4" t="s">
        <v>152</v>
      </c>
      <c r="K20" s="4" t="str">
        <f>HLOOKUP(J20,LOCATION!$B$2:$M$3,2,FALSE)</f>
        <v>AUSTRALIA</v>
      </c>
      <c r="L20" s="4" t="str">
        <f>_xlfn.XLOOKUP(K20,LOCATION!$B$3:$M$3,LOCATION!$B$1:$M$1,,0)</f>
        <v>English</v>
      </c>
      <c r="M20" s="4" t="str">
        <f t="shared" si="1"/>
        <v>raynor.earnestine@xyz.org</v>
      </c>
      <c r="N20" s="35">
        <v>70.3</v>
      </c>
      <c r="O20" s="2" t="s">
        <v>214</v>
      </c>
      <c r="P20" s="2" t="s">
        <v>216</v>
      </c>
      <c r="Q20" s="3" t="str">
        <f>_xlfn.XLOOKUP(R20,SPORT!$B$2:$B$33,SPORT!$A$2:$A$33)</f>
        <v>INDOOR</v>
      </c>
      <c r="R20" s="2" t="s">
        <v>191</v>
      </c>
      <c r="S20" s="49">
        <v>63526</v>
      </c>
    </row>
    <row r="21" spans="1:19" x14ac:dyDescent="0.3">
      <c r="A21" s="33">
        <v>20</v>
      </c>
      <c r="B21" s="3" t="str">
        <f t="shared" si="0"/>
        <v>JASON  GAYLORD</v>
      </c>
      <c r="C21" s="2" t="s">
        <v>24</v>
      </c>
      <c r="D21" s="2" t="s">
        <v>62</v>
      </c>
      <c r="E21" s="2"/>
      <c r="F21" s="2" t="s">
        <v>63</v>
      </c>
      <c r="G21" s="34">
        <v>27767</v>
      </c>
      <c r="H21" s="2" t="s">
        <v>64</v>
      </c>
      <c r="I21" s="2" t="s">
        <v>142</v>
      </c>
      <c r="J21" s="4" t="s">
        <v>152</v>
      </c>
      <c r="K21" s="4" t="str">
        <f>HLOOKUP(J21,LOCATION!$B$2:$M$3,2,FALSE)</f>
        <v>AUSTRALIA</v>
      </c>
      <c r="L21" s="4" t="str">
        <f>_xlfn.XLOOKUP(K21,LOCATION!$B$3:$M$3,LOCATION!$B$1:$M$1,,0)</f>
        <v>English</v>
      </c>
      <c r="M21" s="4" t="str">
        <f t="shared" si="1"/>
        <v>gaylord.jason@xyz.org</v>
      </c>
      <c r="N21" s="35">
        <v>54.7</v>
      </c>
      <c r="O21" s="2" t="s">
        <v>211</v>
      </c>
      <c r="P21" s="2" t="s">
        <v>212</v>
      </c>
      <c r="Q21" s="3" t="str">
        <f>_xlfn.XLOOKUP(R21,SPORT!$B$2:$B$33,SPORT!$A$2:$A$33)</f>
        <v>INDOOR</v>
      </c>
      <c r="R21" s="2" t="s">
        <v>192</v>
      </c>
      <c r="S21" s="49">
        <v>46352</v>
      </c>
    </row>
    <row r="22" spans="1:19" x14ac:dyDescent="0.3">
      <c r="A22" s="33">
        <v>21</v>
      </c>
      <c r="B22" s="3" t="str">
        <f t="shared" si="0"/>
        <v>KENDRICK  SAUER</v>
      </c>
      <c r="C22" s="2" t="s">
        <v>24</v>
      </c>
      <c r="D22" s="2" t="s">
        <v>65</v>
      </c>
      <c r="E22" s="2"/>
      <c r="F22" s="2" t="s">
        <v>66</v>
      </c>
      <c r="G22" s="34">
        <v>35268</v>
      </c>
      <c r="H22" s="2" t="s">
        <v>17</v>
      </c>
      <c r="I22" s="2" t="s">
        <v>142</v>
      </c>
      <c r="J22" s="4" t="s">
        <v>152</v>
      </c>
      <c r="K22" s="4" t="str">
        <f>HLOOKUP(J22,LOCATION!$B$2:$M$3,2,FALSE)</f>
        <v>AUSTRALIA</v>
      </c>
      <c r="L22" s="4" t="str">
        <f>_xlfn.XLOOKUP(K22,LOCATION!$B$3:$M$3,LOCATION!$B$1:$M$1,,0)</f>
        <v>English</v>
      </c>
      <c r="M22" s="4" t="str">
        <f t="shared" si="1"/>
        <v>sauer.kendrick@xyz.org</v>
      </c>
      <c r="N22" s="35">
        <v>100.9</v>
      </c>
      <c r="O22" s="2" t="s">
        <v>214</v>
      </c>
      <c r="P22" s="2" t="s">
        <v>215</v>
      </c>
      <c r="Q22" s="3" t="str">
        <f>_xlfn.XLOOKUP(R22,SPORT!$B$2:$B$33,SPORT!$A$2:$A$33)</f>
        <v>OUTDOOR</v>
      </c>
      <c r="R22" s="2" t="s">
        <v>193</v>
      </c>
      <c r="S22" s="49">
        <v>106808</v>
      </c>
    </row>
    <row r="23" spans="1:19" x14ac:dyDescent="0.3">
      <c r="A23" s="33">
        <v>22</v>
      </c>
      <c r="B23" s="3" t="str">
        <f t="shared" si="0"/>
        <v>ANNABELL  OLSON</v>
      </c>
      <c r="C23" s="2" t="s">
        <v>21</v>
      </c>
      <c r="D23" s="2" t="s">
        <v>67</v>
      </c>
      <c r="E23" s="2"/>
      <c r="F23" s="2" t="s">
        <v>68</v>
      </c>
      <c r="G23" s="34">
        <v>23483</v>
      </c>
      <c r="H23" s="2" t="s">
        <v>69</v>
      </c>
      <c r="I23" s="2" t="s">
        <v>138</v>
      </c>
      <c r="J23" s="4" t="s">
        <v>152</v>
      </c>
      <c r="K23" s="4" t="str">
        <f>HLOOKUP(J23,LOCATION!$B$2:$M$3,2,FALSE)</f>
        <v>AUSTRALIA</v>
      </c>
      <c r="L23" s="4" t="str">
        <f>_xlfn.XLOOKUP(K23,LOCATION!$B$3:$M$3,LOCATION!$B$1:$M$1,,0)</f>
        <v>English</v>
      </c>
      <c r="M23" s="4" t="str">
        <f t="shared" si="1"/>
        <v>olson.annabell@xyz.org</v>
      </c>
      <c r="N23" s="35">
        <v>84.3</v>
      </c>
      <c r="O23" s="2" t="s">
        <v>209</v>
      </c>
      <c r="P23" s="2" t="s">
        <v>216</v>
      </c>
      <c r="Q23" s="3" t="str">
        <f>_xlfn.XLOOKUP(R23,SPORT!$B$2:$B$33,SPORT!$A$2:$A$33)</f>
        <v>OUTDOOR</v>
      </c>
      <c r="R23" s="2" t="s">
        <v>194</v>
      </c>
      <c r="S23" s="49">
        <v>96468</v>
      </c>
    </row>
    <row r="24" spans="1:19" x14ac:dyDescent="0.3">
      <c r="A24" s="33">
        <v>23</v>
      </c>
      <c r="B24" s="3" t="str">
        <f t="shared" si="0"/>
        <v>JENA  UPTON</v>
      </c>
      <c r="C24" s="2" t="s">
        <v>21</v>
      </c>
      <c r="D24" s="2" t="s">
        <v>70</v>
      </c>
      <c r="E24" s="2"/>
      <c r="F24" s="2" t="s">
        <v>71</v>
      </c>
      <c r="G24" s="34">
        <v>20437</v>
      </c>
      <c r="H24" s="2" t="s">
        <v>27</v>
      </c>
      <c r="I24" s="2" t="s">
        <v>138</v>
      </c>
      <c r="J24" s="4" t="s">
        <v>152</v>
      </c>
      <c r="K24" s="4" t="str">
        <f>HLOOKUP(J24,LOCATION!$B$2:$M$3,2,FALSE)</f>
        <v>AUSTRALIA</v>
      </c>
      <c r="L24" s="4" t="str">
        <f>_xlfn.XLOOKUP(K24,LOCATION!$B$3:$M$3,LOCATION!$B$1:$M$1,,0)</f>
        <v>English</v>
      </c>
      <c r="M24" s="4" t="str">
        <f t="shared" si="1"/>
        <v>upton.jena@xyz.org</v>
      </c>
      <c r="N24" s="35">
        <v>66.8</v>
      </c>
      <c r="O24" s="2" t="s">
        <v>214</v>
      </c>
      <c r="P24" s="2" t="s">
        <v>217</v>
      </c>
      <c r="Q24" s="3" t="str">
        <f>_xlfn.XLOOKUP(R24,SPORT!$B$2:$B$33,SPORT!$A$2:$A$33)</f>
        <v>OUTDOOR</v>
      </c>
      <c r="R24" s="2" t="s">
        <v>195</v>
      </c>
      <c r="S24" s="49">
        <v>16526</v>
      </c>
    </row>
    <row r="25" spans="1:19" x14ac:dyDescent="0.3">
      <c r="A25" s="33">
        <v>24</v>
      </c>
      <c r="B25" s="3" t="str">
        <f t="shared" si="0"/>
        <v>SHANNY  BINS</v>
      </c>
      <c r="C25" s="2" t="s">
        <v>21</v>
      </c>
      <c r="D25" s="2" t="s">
        <v>72</v>
      </c>
      <c r="E25" s="2"/>
      <c r="F25" s="2" t="s">
        <v>73</v>
      </c>
      <c r="G25" s="34">
        <v>36400</v>
      </c>
      <c r="H25" s="2" t="s">
        <v>49</v>
      </c>
      <c r="I25" s="2" t="s">
        <v>138</v>
      </c>
      <c r="J25" s="4" t="s">
        <v>152</v>
      </c>
      <c r="K25" s="4" t="str">
        <f>HLOOKUP(J25,LOCATION!$B$2:$M$3,2,FALSE)</f>
        <v>AUSTRALIA</v>
      </c>
      <c r="L25" s="4" t="str">
        <f>_xlfn.XLOOKUP(K25,LOCATION!$B$3:$M$3,LOCATION!$B$1:$M$1,,0)</f>
        <v>English</v>
      </c>
      <c r="M25" s="4" t="str">
        <f t="shared" si="1"/>
        <v>bins.shanny@xyz.org</v>
      </c>
      <c r="N25" s="35">
        <v>59.4</v>
      </c>
      <c r="O25" s="2" t="s">
        <v>213</v>
      </c>
      <c r="P25" s="2" t="s">
        <v>215</v>
      </c>
      <c r="Q25" s="3" t="str">
        <f>_xlfn.XLOOKUP(R25,SPORT!$B$2:$B$33,SPORT!$A$2:$A$33)</f>
        <v>OUTDOOR</v>
      </c>
      <c r="R25" s="2" t="s">
        <v>196</v>
      </c>
      <c r="S25" s="49">
        <v>21891</v>
      </c>
    </row>
    <row r="26" spans="1:19" x14ac:dyDescent="0.3">
      <c r="A26" s="33">
        <v>25</v>
      </c>
      <c r="B26" s="3" t="str">
        <f t="shared" si="0"/>
        <v>TIA  ABSHIRE</v>
      </c>
      <c r="C26" s="2" t="s">
        <v>21</v>
      </c>
      <c r="D26" s="2" t="s">
        <v>74</v>
      </c>
      <c r="E26" s="2"/>
      <c r="F26" s="2" t="s">
        <v>75</v>
      </c>
      <c r="G26" s="34">
        <v>24309</v>
      </c>
      <c r="H26" s="2" t="s">
        <v>17</v>
      </c>
      <c r="I26" s="2" t="s">
        <v>138</v>
      </c>
      <c r="J26" s="4" t="s">
        <v>152</v>
      </c>
      <c r="K26" s="4" t="str">
        <f>HLOOKUP(J26,LOCATION!$B$2:$M$3,2,FALSE)</f>
        <v>AUSTRALIA</v>
      </c>
      <c r="L26" s="4" t="str">
        <f>_xlfn.XLOOKUP(K26,LOCATION!$B$3:$M$3,LOCATION!$B$1:$M$1,,0)</f>
        <v>English</v>
      </c>
      <c r="M26" s="4" t="str">
        <f t="shared" si="1"/>
        <v>abshire.tia@xyz.org</v>
      </c>
      <c r="N26" s="35">
        <v>77.8</v>
      </c>
      <c r="O26" s="2" t="s">
        <v>213</v>
      </c>
      <c r="P26" s="2" t="s">
        <v>216</v>
      </c>
      <c r="Q26" s="3" t="str">
        <f>_xlfn.XLOOKUP(R26,SPORT!$B$2:$B$33,SPORT!$A$2:$A$33)</f>
        <v>OUTDOOR</v>
      </c>
      <c r="R26" s="2" t="s">
        <v>181</v>
      </c>
      <c r="S26" s="49">
        <v>62037</v>
      </c>
    </row>
    <row r="27" spans="1:19" x14ac:dyDescent="0.3">
      <c r="A27" s="33">
        <v>26</v>
      </c>
      <c r="B27" s="3" t="str">
        <f t="shared" si="0"/>
        <v>ISABEL  RUNOLFSDOTTIR</v>
      </c>
      <c r="C27" s="2" t="s">
        <v>6</v>
      </c>
      <c r="D27" s="2" t="s">
        <v>76</v>
      </c>
      <c r="E27" s="2"/>
      <c r="F27" s="2" t="s">
        <v>77</v>
      </c>
      <c r="G27" s="34">
        <v>28570</v>
      </c>
      <c r="H27" s="2" t="s">
        <v>69</v>
      </c>
      <c r="I27" s="2" t="s">
        <v>138</v>
      </c>
      <c r="J27" s="4" t="s">
        <v>152</v>
      </c>
      <c r="K27" s="4" t="str">
        <f>HLOOKUP(J27,LOCATION!$B$2:$M$3,2,FALSE)</f>
        <v>AUSTRALIA</v>
      </c>
      <c r="L27" s="4" t="str">
        <f>_xlfn.XLOOKUP(K27,LOCATION!$B$3:$M$3,LOCATION!$B$1:$M$1,,0)</f>
        <v>English</v>
      </c>
      <c r="M27" s="4" t="str">
        <f t="shared" si="1"/>
        <v>runolfsdottir.isabel@xyz.org</v>
      </c>
      <c r="N27" s="35">
        <v>85.9</v>
      </c>
      <c r="O27" s="2" t="s">
        <v>214</v>
      </c>
      <c r="P27" s="2" t="s">
        <v>219</v>
      </c>
      <c r="Q27" s="3" t="str">
        <f>_xlfn.XLOOKUP(R27,SPORT!$B$2:$B$33,SPORT!$A$2:$A$33)</f>
        <v>INDOOR</v>
      </c>
      <c r="R27" s="2" t="s">
        <v>174</v>
      </c>
      <c r="S27" s="49">
        <v>89737</v>
      </c>
    </row>
    <row r="28" spans="1:19" x14ac:dyDescent="0.3">
      <c r="A28" s="33">
        <v>27</v>
      </c>
      <c r="B28" s="3" t="str">
        <f t="shared" si="0"/>
        <v>BARNEY  WESACK</v>
      </c>
      <c r="C28" s="2" t="s">
        <v>46</v>
      </c>
      <c r="D28" s="2" t="s">
        <v>78</v>
      </c>
      <c r="E28" s="2"/>
      <c r="F28" s="2" t="s">
        <v>79</v>
      </c>
      <c r="G28" s="34">
        <v>25767</v>
      </c>
      <c r="H28" s="2" t="s">
        <v>17</v>
      </c>
      <c r="I28" s="2" t="s">
        <v>142</v>
      </c>
      <c r="J28" s="4" t="s">
        <v>154</v>
      </c>
      <c r="K28" s="4" t="str">
        <f>HLOOKUP(J28,LOCATION!$B$2:$M$3,2,FALSE)</f>
        <v>AUSTRIA</v>
      </c>
      <c r="L28" s="4" t="str">
        <f>_xlfn.XLOOKUP(K28,LOCATION!$B$3:$M$3,LOCATION!$B$1:$M$1,,0)</f>
        <v>German</v>
      </c>
      <c r="M28" s="4" t="str">
        <f t="shared" si="1"/>
        <v>wesack.barney@xyz.com</v>
      </c>
      <c r="N28" s="35">
        <v>93.4</v>
      </c>
      <c r="O28" s="2" t="s">
        <v>213</v>
      </c>
      <c r="P28" s="2" t="s">
        <v>219</v>
      </c>
      <c r="Q28" s="3" t="str">
        <f>_xlfn.XLOOKUP(R28,SPORT!$B$2:$B$33,SPORT!$A$2:$A$33)</f>
        <v>INDOOR</v>
      </c>
      <c r="R28" s="2" t="s">
        <v>197</v>
      </c>
      <c r="S28" s="49">
        <v>41039</v>
      </c>
    </row>
    <row r="29" spans="1:19" x14ac:dyDescent="0.3">
      <c r="A29" s="33">
        <v>28</v>
      </c>
      <c r="B29" s="3" t="str">
        <f t="shared" si="0"/>
        <v>BARUCH  KADE</v>
      </c>
      <c r="C29" s="2" t="s">
        <v>46</v>
      </c>
      <c r="D29" s="2" t="s">
        <v>80</v>
      </c>
      <c r="E29" s="2"/>
      <c r="F29" s="2" t="s">
        <v>81</v>
      </c>
      <c r="G29" s="34">
        <v>30020</v>
      </c>
      <c r="H29" s="2" t="s">
        <v>53</v>
      </c>
      <c r="I29" s="2" t="s">
        <v>142</v>
      </c>
      <c r="J29" s="4" t="s">
        <v>154</v>
      </c>
      <c r="K29" s="4" t="str">
        <f>HLOOKUP(J29,LOCATION!$B$2:$M$3,2,FALSE)</f>
        <v>AUSTRIA</v>
      </c>
      <c r="L29" s="4" t="str">
        <f>_xlfn.XLOOKUP(K29,LOCATION!$B$3:$M$3,LOCATION!$B$1:$M$1,,0)</f>
        <v>German</v>
      </c>
      <c r="M29" s="4" t="str">
        <f t="shared" si="1"/>
        <v>kade.baruch@xyz.com</v>
      </c>
      <c r="N29" s="35">
        <v>95.5</v>
      </c>
      <c r="O29" s="2" t="s">
        <v>218</v>
      </c>
      <c r="P29" s="2" t="s">
        <v>212</v>
      </c>
      <c r="Q29" s="3" t="str">
        <f>_xlfn.XLOOKUP(R29,SPORT!$B$2:$B$33,SPORT!$A$2:$A$33)</f>
        <v>OUTDOOR</v>
      </c>
      <c r="R29" s="2" t="s">
        <v>186</v>
      </c>
      <c r="S29" s="49">
        <v>28458</v>
      </c>
    </row>
    <row r="30" spans="1:19" x14ac:dyDescent="0.3">
      <c r="A30" s="33">
        <v>29</v>
      </c>
      <c r="B30" s="3" t="str">
        <f t="shared" si="0"/>
        <v>LIESBETH  ROSEMANN</v>
      </c>
      <c r="C30" s="2" t="s">
        <v>50</v>
      </c>
      <c r="D30" s="2" t="s">
        <v>82</v>
      </c>
      <c r="E30" s="2"/>
      <c r="F30" s="2" t="s">
        <v>83</v>
      </c>
      <c r="G30" s="34">
        <v>34361</v>
      </c>
      <c r="H30" s="2" t="s">
        <v>12</v>
      </c>
      <c r="I30" s="2" t="s">
        <v>138</v>
      </c>
      <c r="J30" s="4" t="s">
        <v>154</v>
      </c>
      <c r="K30" s="4" t="str">
        <f>HLOOKUP(J30,LOCATION!$B$2:$M$3,2,FALSE)</f>
        <v>AUSTRIA</v>
      </c>
      <c r="L30" s="4" t="str">
        <f>_xlfn.XLOOKUP(K30,LOCATION!$B$3:$M$3,LOCATION!$B$1:$M$1,,0)</f>
        <v>German</v>
      </c>
      <c r="M30" s="4" t="str">
        <f t="shared" si="1"/>
        <v>rosemann.liesbeth@xyz.com</v>
      </c>
      <c r="N30" s="35">
        <v>52.2</v>
      </c>
      <c r="O30" s="2" t="s">
        <v>214</v>
      </c>
      <c r="P30" s="2" t="s">
        <v>217</v>
      </c>
      <c r="Q30" s="3" t="str">
        <f>_xlfn.XLOOKUP(R30,SPORT!$B$2:$B$33,SPORT!$A$2:$A$33)</f>
        <v>OUTDOOR</v>
      </c>
      <c r="R30" s="2" t="s">
        <v>181</v>
      </c>
      <c r="S30" s="49">
        <v>55007</v>
      </c>
    </row>
    <row r="31" spans="1:19" x14ac:dyDescent="0.3">
      <c r="A31" s="33">
        <v>30</v>
      </c>
      <c r="B31" s="3" t="str">
        <f t="shared" si="0"/>
        <v>VALENTINE  MOREAU</v>
      </c>
      <c r="C31" s="2" t="s">
        <v>84</v>
      </c>
      <c r="D31" s="2" t="s">
        <v>85</v>
      </c>
      <c r="E31" s="2"/>
      <c r="F31" s="2" t="s">
        <v>86</v>
      </c>
      <c r="G31" s="34">
        <v>29137</v>
      </c>
      <c r="H31" s="2" t="s">
        <v>9</v>
      </c>
      <c r="I31" s="2" t="s">
        <v>138</v>
      </c>
      <c r="J31" s="4" t="s">
        <v>157</v>
      </c>
      <c r="K31" s="4" t="str">
        <f>HLOOKUP(J31,LOCATION!$B$2:$M$3,2,FALSE)</f>
        <v>FRANCE</v>
      </c>
      <c r="L31" s="4" t="str">
        <f>_xlfn.XLOOKUP(K31,LOCATION!$B$3:$M$3,LOCATION!$B$1:$M$1,,0)</f>
        <v>French</v>
      </c>
      <c r="M31" s="4" t="str">
        <f t="shared" si="1"/>
        <v>moreau.valentine@xyz.com</v>
      </c>
      <c r="N31" s="35">
        <v>74.599999999999994</v>
      </c>
      <c r="O31" s="2" t="s">
        <v>214</v>
      </c>
      <c r="P31" s="2" t="s">
        <v>219</v>
      </c>
      <c r="Q31" s="3" t="str">
        <f>_xlfn.XLOOKUP(R31,SPORT!$B$2:$B$33,SPORT!$A$2:$A$33)</f>
        <v>OUTDOOR</v>
      </c>
      <c r="R31" s="2" t="s">
        <v>198</v>
      </c>
      <c r="S31" s="49">
        <v>69041</v>
      </c>
    </row>
    <row r="32" spans="1:19" x14ac:dyDescent="0.3">
      <c r="A32" s="33">
        <v>31</v>
      </c>
      <c r="B32" s="3" t="str">
        <f t="shared" si="0"/>
        <v>PAULETTE  DURAND</v>
      </c>
      <c r="C32" s="2" t="s">
        <v>84</v>
      </c>
      <c r="D32" s="2" t="s">
        <v>87</v>
      </c>
      <c r="E32" s="2"/>
      <c r="F32" s="2" t="s">
        <v>88</v>
      </c>
      <c r="G32" s="34">
        <v>32867</v>
      </c>
      <c r="H32" s="2" t="s">
        <v>64</v>
      </c>
      <c r="I32" s="2" t="s">
        <v>138</v>
      </c>
      <c r="J32" s="4" t="s">
        <v>157</v>
      </c>
      <c r="K32" s="4" t="str">
        <f>HLOOKUP(J32,LOCATION!$B$2:$M$3,2,FALSE)</f>
        <v>FRANCE</v>
      </c>
      <c r="L32" s="4" t="str">
        <f>_xlfn.XLOOKUP(K32,LOCATION!$B$3:$M$3,LOCATION!$B$1:$M$1,,0)</f>
        <v>French</v>
      </c>
      <c r="M32" s="4" t="str">
        <f t="shared" si="1"/>
        <v>durand.paulette@xyz.com</v>
      </c>
      <c r="N32" s="35">
        <v>81.7</v>
      </c>
      <c r="O32" s="2" t="s">
        <v>213</v>
      </c>
      <c r="P32" s="2" t="s">
        <v>212</v>
      </c>
      <c r="Q32" s="3" t="str">
        <f>_xlfn.XLOOKUP(R32,SPORT!$B$2:$B$33,SPORT!$A$2:$A$33)</f>
        <v>INDOOR</v>
      </c>
      <c r="R32" s="2" t="s">
        <v>197</v>
      </c>
      <c r="S32" s="49">
        <v>86262</v>
      </c>
    </row>
    <row r="33" spans="1:19" x14ac:dyDescent="0.3">
      <c r="A33" s="33">
        <v>32</v>
      </c>
      <c r="B33" s="3" t="str">
        <f t="shared" si="0"/>
        <v>LAURE-ALIX  CHEVALIER</v>
      </c>
      <c r="C33" s="2" t="s">
        <v>84</v>
      </c>
      <c r="D33" s="2" t="s">
        <v>89</v>
      </c>
      <c r="E33" s="2"/>
      <c r="F33" s="2" t="s">
        <v>90</v>
      </c>
      <c r="G33" s="34">
        <v>25925</v>
      </c>
      <c r="H33" s="2" t="s">
        <v>64</v>
      </c>
      <c r="I33" s="2" t="s">
        <v>138</v>
      </c>
      <c r="J33" s="4" t="s">
        <v>157</v>
      </c>
      <c r="K33" s="4" t="str">
        <f>HLOOKUP(J33,LOCATION!$B$2:$M$3,2,FALSE)</f>
        <v>FRANCE</v>
      </c>
      <c r="L33" s="4" t="str">
        <f>_xlfn.XLOOKUP(K33,LOCATION!$B$3:$M$3,LOCATION!$B$1:$M$1,,0)</f>
        <v>French</v>
      </c>
      <c r="M33" s="4" t="str">
        <f t="shared" si="1"/>
        <v>chevalier.laure-alix@xyz.com</v>
      </c>
      <c r="N33" s="35">
        <v>78.099999999999994</v>
      </c>
      <c r="O33" s="2" t="s">
        <v>214</v>
      </c>
      <c r="P33" s="2" t="s">
        <v>217</v>
      </c>
      <c r="Q33" s="3" t="str">
        <f>_xlfn.XLOOKUP(R33,SPORT!$B$2:$B$33,SPORT!$A$2:$A$33)</f>
        <v>OUTDOOR</v>
      </c>
      <c r="R33" s="2" t="s">
        <v>195</v>
      </c>
      <c r="S33" s="49">
        <v>19234</v>
      </c>
    </row>
    <row r="34" spans="1:19" x14ac:dyDescent="0.3">
      <c r="A34" s="33">
        <v>33</v>
      </c>
      <c r="B34" s="3" t="str">
        <f t="shared" si="0"/>
        <v>CLAUDE  TOUSSAINT</v>
      </c>
      <c r="C34" s="2" t="s">
        <v>91</v>
      </c>
      <c r="D34" s="2" t="s">
        <v>92</v>
      </c>
      <c r="E34" s="2"/>
      <c r="F34" s="2" t="s">
        <v>93</v>
      </c>
      <c r="G34" s="34">
        <v>29529</v>
      </c>
      <c r="H34" s="2" t="s">
        <v>40</v>
      </c>
      <c r="I34" s="2" t="s">
        <v>142</v>
      </c>
      <c r="J34" s="4" t="s">
        <v>157</v>
      </c>
      <c r="K34" s="4" t="str">
        <f>HLOOKUP(J34,LOCATION!$B$2:$M$3,2,FALSE)</f>
        <v>FRANCE</v>
      </c>
      <c r="L34" s="4" t="str">
        <f>_xlfn.XLOOKUP(K34,LOCATION!$B$3:$M$3,LOCATION!$B$1:$M$1,,0)</f>
        <v>French</v>
      </c>
      <c r="M34" s="4" t="str">
        <f t="shared" si="1"/>
        <v>toussaint.claude@xyz.com</v>
      </c>
      <c r="N34" s="35">
        <v>57.1</v>
      </c>
      <c r="O34" s="2" t="s">
        <v>209</v>
      </c>
      <c r="P34" s="2" t="s">
        <v>217</v>
      </c>
      <c r="Q34" s="3" t="str">
        <f>_xlfn.XLOOKUP(R34,SPORT!$B$2:$B$33,SPORT!$A$2:$A$33)</f>
        <v>INDOOR</v>
      </c>
      <c r="R34" s="2" t="s">
        <v>199</v>
      </c>
      <c r="S34" s="49">
        <v>95123</v>
      </c>
    </row>
    <row r="35" spans="1:19" x14ac:dyDescent="0.3">
      <c r="A35" s="33">
        <v>34</v>
      </c>
      <c r="B35" s="3" t="str">
        <f t="shared" si="0"/>
        <v>VICTOR  LENOIR</v>
      </c>
      <c r="C35" s="2" t="s">
        <v>91</v>
      </c>
      <c r="D35" s="2" t="s">
        <v>94</v>
      </c>
      <c r="E35" s="2"/>
      <c r="F35" s="2" t="s">
        <v>95</v>
      </c>
      <c r="G35" s="34">
        <v>29875</v>
      </c>
      <c r="H35" s="2" t="s">
        <v>9</v>
      </c>
      <c r="I35" s="2" t="s">
        <v>142</v>
      </c>
      <c r="J35" s="4" t="s">
        <v>157</v>
      </c>
      <c r="K35" s="4" t="str">
        <f>HLOOKUP(J35,LOCATION!$B$2:$M$3,2,FALSE)</f>
        <v>FRANCE</v>
      </c>
      <c r="L35" s="4" t="str">
        <f>_xlfn.XLOOKUP(K35,LOCATION!$B$3:$M$3,LOCATION!$B$1:$M$1,,0)</f>
        <v>French</v>
      </c>
      <c r="M35" s="4" t="str">
        <f t="shared" si="1"/>
        <v>lenoir.victor@xyz.com</v>
      </c>
      <c r="N35" s="35">
        <v>56</v>
      </c>
      <c r="O35" s="2" t="s">
        <v>214</v>
      </c>
      <c r="P35" s="2" t="s">
        <v>219</v>
      </c>
      <c r="Q35" s="3" t="str">
        <f>_xlfn.XLOOKUP(R35,SPORT!$B$2:$B$33,SPORT!$A$2:$A$33)</f>
        <v>OUTDOOR</v>
      </c>
      <c r="R35" s="2" t="s">
        <v>193</v>
      </c>
      <c r="S35" s="49">
        <v>62761</v>
      </c>
    </row>
    <row r="36" spans="1:19" x14ac:dyDescent="0.3">
      <c r="A36" s="33">
        <v>35</v>
      </c>
      <c r="B36" s="3" t="str">
        <f t="shared" si="0"/>
        <v>ARTHUR  LENOIR</v>
      </c>
      <c r="C36" s="2" t="s">
        <v>91</v>
      </c>
      <c r="D36" s="2" t="s">
        <v>96</v>
      </c>
      <c r="E36" s="2"/>
      <c r="F36" s="2" t="s">
        <v>95</v>
      </c>
      <c r="G36" s="34">
        <v>20300</v>
      </c>
      <c r="H36" s="2" t="s">
        <v>30</v>
      </c>
      <c r="I36" s="2" t="s">
        <v>142</v>
      </c>
      <c r="J36" s="4" t="s">
        <v>157</v>
      </c>
      <c r="K36" s="4" t="str">
        <f>HLOOKUP(J36,LOCATION!$B$2:$M$3,2,FALSE)</f>
        <v>FRANCE</v>
      </c>
      <c r="L36" s="4" t="str">
        <f>_xlfn.XLOOKUP(K36,LOCATION!$B$3:$M$3,LOCATION!$B$1:$M$1,,0)</f>
        <v>French</v>
      </c>
      <c r="M36" s="4" t="str">
        <f t="shared" si="1"/>
        <v>lenoir.arthur@xyz.com</v>
      </c>
      <c r="N36" s="35">
        <v>88.6</v>
      </c>
      <c r="O36" s="2" t="s">
        <v>213</v>
      </c>
      <c r="P36" s="2" t="s">
        <v>217</v>
      </c>
      <c r="Q36" s="3" t="str">
        <f>_xlfn.XLOOKUP(R36,SPORT!$B$2:$B$33,SPORT!$A$2:$A$33)</f>
        <v>OUTDOOR</v>
      </c>
      <c r="R36" s="2" t="s">
        <v>200</v>
      </c>
      <c r="S36" s="49">
        <v>108431</v>
      </c>
    </row>
    <row r="37" spans="1:19" x14ac:dyDescent="0.3">
      <c r="A37" s="33">
        <v>36</v>
      </c>
      <c r="B37" s="3" t="str">
        <f t="shared" si="0"/>
        <v>BENJAMIN  LEBRUN-BRUN</v>
      </c>
      <c r="C37" s="2" t="s">
        <v>91</v>
      </c>
      <c r="D37" s="2" t="s">
        <v>97</v>
      </c>
      <c r="E37" s="2"/>
      <c r="F37" s="2" t="s">
        <v>98</v>
      </c>
      <c r="G37" s="34">
        <v>27428</v>
      </c>
      <c r="H37" s="2" t="s">
        <v>12</v>
      </c>
      <c r="I37" s="2" t="s">
        <v>142</v>
      </c>
      <c r="J37" s="4" t="s">
        <v>157</v>
      </c>
      <c r="K37" s="4" t="str">
        <f>HLOOKUP(J37,LOCATION!$B$2:$M$3,2,FALSE)</f>
        <v>FRANCE</v>
      </c>
      <c r="L37" s="4" t="str">
        <f>_xlfn.XLOOKUP(K37,LOCATION!$B$3:$M$3,LOCATION!$B$1:$M$1,,0)</f>
        <v>French</v>
      </c>
      <c r="M37" s="4" t="str">
        <f t="shared" si="1"/>
        <v>lebrun-brun.benjamin@xyz.com</v>
      </c>
      <c r="N37" s="35">
        <v>78.2</v>
      </c>
      <c r="O37" s="2" t="s">
        <v>211</v>
      </c>
      <c r="P37" s="2" t="s">
        <v>212</v>
      </c>
      <c r="Q37" s="3" t="str">
        <f>_xlfn.XLOOKUP(R37,SPORT!$B$2:$B$33,SPORT!$A$2:$A$33)</f>
        <v>OUTDOOR</v>
      </c>
      <c r="R37" s="2" t="s">
        <v>193</v>
      </c>
      <c r="S37" s="49">
        <v>66268</v>
      </c>
    </row>
    <row r="38" spans="1:19" x14ac:dyDescent="0.3">
      <c r="A38" s="33">
        <v>37</v>
      </c>
      <c r="B38" s="3" t="str">
        <f t="shared" si="0"/>
        <v>ANTOINE  MAILLARD</v>
      </c>
      <c r="C38" s="2" t="s">
        <v>91</v>
      </c>
      <c r="D38" s="2" t="s">
        <v>99</v>
      </c>
      <c r="E38" s="2"/>
      <c r="F38" s="2" t="s">
        <v>100</v>
      </c>
      <c r="G38" s="34">
        <v>31585</v>
      </c>
      <c r="H38" s="2" t="s">
        <v>17</v>
      </c>
      <c r="I38" s="2" t="s">
        <v>142</v>
      </c>
      <c r="J38" s="4" t="s">
        <v>157</v>
      </c>
      <c r="K38" s="4" t="str">
        <f>HLOOKUP(J38,LOCATION!$B$2:$M$3,2,FALSE)</f>
        <v>FRANCE</v>
      </c>
      <c r="L38" s="4" t="str">
        <f>_xlfn.XLOOKUP(K38,LOCATION!$B$3:$M$3,LOCATION!$B$1:$M$1,,0)</f>
        <v>French</v>
      </c>
      <c r="M38" s="4" t="str">
        <f t="shared" si="1"/>
        <v>maillard.antoine@xyz.com</v>
      </c>
      <c r="N38" s="35">
        <v>95.8</v>
      </c>
      <c r="O38" s="2" t="s">
        <v>214</v>
      </c>
      <c r="P38" s="2" t="s">
        <v>215</v>
      </c>
      <c r="Q38" s="3" t="str">
        <f>_xlfn.XLOOKUP(R38,SPORT!$B$2:$B$33,SPORT!$A$2:$A$33)</f>
        <v>OUTDOOR</v>
      </c>
      <c r="R38" s="2" t="s">
        <v>201</v>
      </c>
      <c r="S38" s="49">
        <v>33970</v>
      </c>
    </row>
    <row r="39" spans="1:19" x14ac:dyDescent="0.3">
      <c r="A39" s="33">
        <v>38</v>
      </c>
      <c r="B39" s="3" t="str">
        <f t="shared" si="0"/>
        <v>BERNARD  HOARAU-GUYON</v>
      </c>
      <c r="C39" s="2" t="s">
        <v>91</v>
      </c>
      <c r="D39" s="2" t="s">
        <v>101</v>
      </c>
      <c r="E39" s="2"/>
      <c r="F39" s="2" t="s">
        <v>102</v>
      </c>
      <c r="G39" s="34">
        <v>30327</v>
      </c>
      <c r="H39" s="2" t="s">
        <v>64</v>
      </c>
      <c r="I39" s="2" t="s">
        <v>142</v>
      </c>
      <c r="J39" s="4" t="s">
        <v>157</v>
      </c>
      <c r="K39" s="4" t="str">
        <f>HLOOKUP(J39,LOCATION!$B$2:$M$3,2,FALSE)</f>
        <v>FRANCE</v>
      </c>
      <c r="L39" s="4" t="str">
        <f>_xlfn.XLOOKUP(K39,LOCATION!$B$3:$M$3,LOCATION!$B$1:$M$1,,0)</f>
        <v>French</v>
      </c>
      <c r="M39" s="4" t="str">
        <f t="shared" si="1"/>
        <v>hoarau-guyon.bernard@xyz.com</v>
      </c>
      <c r="N39" s="35">
        <v>59.7</v>
      </c>
      <c r="O39" s="2" t="s">
        <v>218</v>
      </c>
      <c r="P39" s="2" t="s">
        <v>212</v>
      </c>
      <c r="Q39" s="3" t="str">
        <f>_xlfn.XLOOKUP(R39,SPORT!$B$2:$B$33,SPORT!$A$2:$A$33)</f>
        <v>INDOOR</v>
      </c>
      <c r="R39" s="2" t="s">
        <v>174</v>
      </c>
      <c r="S39" s="49">
        <v>71352</v>
      </c>
    </row>
    <row r="40" spans="1:19" x14ac:dyDescent="0.3">
      <c r="A40" s="33">
        <v>39</v>
      </c>
      <c r="B40" s="3" t="str">
        <f t="shared" si="0"/>
        <v>HIDALGO CANTU TERCERO</v>
      </c>
      <c r="C40" s="2" t="s">
        <v>13</v>
      </c>
      <c r="D40" s="2" t="s">
        <v>103</v>
      </c>
      <c r="E40" s="2" t="s">
        <v>104</v>
      </c>
      <c r="F40" s="2" t="s">
        <v>105</v>
      </c>
      <c r="G40" s="34">
        <v>31016</v>
      </c>
      <c r="H40" s="2" t="s">
        <v>27</v>
      </c>
      <c r="I40" s="2" t="s">
        <v>142</v>
      </c>
      <c r="J40" s="4" t="s">
        <v>160</v>
      </c>
      <c r="K40" s="4" t="str">
        <f>HLOOKUP(J40,LOCATION!$B$2:$M$3,2,FALSE)</f>
        <v>ARGENTINA</v>
      </c>
      <c r="L40" s="4" t="str">
        <f>_xlfn.XLOOKUP(K40,LOCATION!$B$3:$M$3,LOCATION!$B$1:$M$1,,0)</f>
        <v>Spanish</v>
      </c>
      <c r="M40" s="4" t="str">
        <f t="shared" si="1"/>
        <v>tercero.hidalgo@xyz.com</v>
      </c>
      <c r="N40" s="35">
        <v>77.7</v>
      </c>
      <c r="O40" s="2" t="s">
        <v>218</v>
      </c>
      <c r="P40" s="2" t="s">
        <v>215</v>
      </c>
      <c r="Q40" s="3" t="str">
        <f>_xlfn.XLOOKUP(R40,SPORT!$B$2:$B$33,SPORT!$A$2:$A$33)</f>
        <v>OUTDOOR</v>
      </c>
      <c r="R40" s="2" t="s">
        <v>196</v>
      </c>
      <c r="S40" s="49">
        <v>116376</v>
      </c>
    </row>
    <row r="41" spans="1:19" x14ac:dyDescent="0.3">
      <c r="A41" s="33">
        <v>40</v>
      </c>
      <c r="B41" s="3" t="str">
        <f t="shared" si="0"/>
        <v>HADALGO  POLANCO</v>
      </c>
      <c r="C41" s="2" t="s">
        <v>13</v>
      </c>
      <c r="D41" s="2" t="s">
        <v>106</v>
      </c>
      <c r="E41" s="2"/>
      <c r="F41" s="2" t="s">
        <v>107</v>
      </c>
      <c r="G41" s="34">
        <v>32314</v>
      </c>
      <c r="H41" s="2" t="s">
        <v>108</v>
      </c>
      <c r="I41" s="2" t="s">
        <v>142</v>
      </c>
      <c r="J41" s="4" t="s">
        <v>160</v>
      </c>
      <c r="K41" s="4" t="str">
        <f>HLOOKUP(J41,LOCATION!$B$2:$M$3,2,FALSE)</f>
        <v>ARGENTINA</v>
      </c>
      <c r="L41" s="4" t="str">
        <f>_xlfn.XLOOKUP(K41,LOCATION!$B$3:$M$3,LOCATION!$B$1:$M$1,,0)</f>
        <v>Spanish</v>
      </c>
      <c r="M41" s="4" t="str">
        <f t="shared" si="1"/>
        <v>polanco.hadalgo@xyz.com</v>
      </c>
      <c r="N41" s="35">
        <v>98</v>
      </c>
      <c r="O41" s="2" t="s">
        <v>214</v>
      </c>
      <c r="P41" s="2" t="s">
        <v>210</v>
      </c>
      <c r="Q41" s="3" t="str">
        <f>_xlfn.XLOOKUP(R41,SPORT!$B$2:$B$33,SPORT!$A$2:$A$33)</f>
        <v>OUTDOOR</v>
      </c>
      <c r="R41" s="2" t="s">
        <v>195</v>
      </c>
      <c r="S41" s="49">
        <v>114144</v>
      </c>
    </row>
    <row r="42" spans="1:19" x14ac:dyDescent="0.3">
      <c r="A42" s="33">
        <v>41</v>
      </c>
      <c r="B42" s="3" t="str">
        <f t="shared" si="0"/>
        <v>LAURA  OLIVIERA</v>
      </c>
      <c r="C42" s="2" t="s">
        <v>109</v>
      </c>
      <c r="D42" s="2" t="s">
        <v>110</v>
      </c>
      <c r="E42" s="2"/>
      <c r="F42" s="2" t="s">
        <v>111</v>
      </c>
      <c r="G42" s="34">
        <v>27076</v>
      </c>
      <c r="H42" s="2" t="s">
        <v>12</v>
      </c>
      <c r="I42" s="2" t="s">
        <v>138</v>
      </c>
      <c r="J42" s="4" t="s">
        <v>160</v>
      </c>
      <c r="K42" s="4" t="str">
        <f>HLOOKUP(J42,LOCATION!$B$2:$M$3,2,FALSE)</f>
        <v>ARGENTINA</v>
      </c>
      <c r="L42" s="4" t="str">
        <f>_xlfn.XLOOKUP(K42,LOCATION!$B$3:$M$3,LOCATION!$B$1:$M$1,,0)</f>
        <v>Spanish</v>
      </c>
      <c r="M42" s="4" t="str">
        <f t="shared" si="1"/>
        <v>oliviera.laura@xyz.com</v>
      </c>
      <c r="N42" s="35">
        <v>51.9</v>
      </c>
      <c r="O42" s="2" t="s">
        <v>213</v>
      </c>
      <c r="P42" s="2" t="s">
        <v>212</v>
      </c>
      <c r="Q42" s="3" t="str">
        <f>_xlfn.XLOOKUP(R42,SPORT!$B$2:$B$33,SPORT!$A$2:$A$33)</f>
        <v>OUTDOOR</v>
      </c>
      <c r="R42" s="2" t="s">
        <v>202</v>
      </c>
      <c r="S42" s="49">
        <v>79872</v>
      </c>
    </row>
    <row r="43" spans="1:19" x14ac:dyDescent="0.3">
      <c r="A43" s="33">
        <v>42</v>
      </c>
      <c r="B43" s="3" t="str">
        <f t="shared" si="0"/>
        <v>AINHOA  GARZA</v>
      </c>
      <c r="C43" s="2" t="s">
        <v>109</v>
      </c>
      <c r="D43" s="2" t="s">
        <v>112</v>
      </c>
      <c r="E43" s="2"/>
      <c r="F43" s="2" t="s">
        <v>113</v>
      </c>
      <c r="G43" s="34">
        <v>32941</v>
      </c>
      <c r="H43" s="2" t="s">
        <v>53</v>
      </c>
      <c r="I43" s="2" t="s">
        <v>138</v>
      </c>
      <c r="J43" s="4" t="s">
        <v>162</v>
      </c>
      <c r="K43" s="4" t="str">
        <f>HLOOKUP(J43,LOCATION!$B$2:$M$3,2,FALSE)</f>
        <v>SPAIN</v>
      </c>
      <c r="L43" s="4" t="str">
        <f>_xlfn.XLOOKUP(K43,LOCATION!$B$3:$M$3,LOCATION!$B$1:$M$1,,0)</f>
        <v>Spanish</v>
      </c>
      <c r="M43" s="4" t="str">
        <f t="shared" si="1"/>
        <v>garza.ainhoa@xyz.com</v>
      </c>
      <c r="N43" s="35">
        <v>55.6</v>
      </c>
      <c r="O43" s="2" t="s">
        <v>211</v>
      </c>
      <c r="P43" s="2" t="s">
        <v>217</v>
      </c>
      <c r="Q43" s="3" t="str">
        <f>_xlfn.XLOOKUP(R43,SPORT!$B$2:$B$33,SPORT!$A$2:$A$33)</f>
        <v>INDOOR</v>
      </c>
      <c r="R43" s="2" t="s">
        <v>203</v>
      </c>
      <c r="S43" s="49">
        <v>101969</v>
      </c>
    </row>
    <row r="44" spans="1:19" x14ac:dyDescent="0.3">
      <c r="A44" s="33">
        <v>43</v>
      </c>
      <c r="B44" s="3" t="str">
        <f t="shared" si="0"/>
        <v>ISABEL  BANDA</v>
      </c>
      <c r="C44" s="2" t="s">
        <v>109</v>
      </c>
      <c r="D44" s="2" t="s">
        <v>76</v>
      </c>
      <c r="E44" s="2"/>
      <c r="F44" s="2" t="s">
        <v>114</v>
      </c>
      <c r="G44" s="34">
        <v>21927</v>
      </c>
      <c r="H44" s="2" t="s">
        <v>64</v>
      </c>
      <c r="I44" s="2" t="s">
        <v>138</v>
      </c>
      <c r="J44" s="4" t="s">
        <v>162</v>
      </c>
      <c r="K44" s="4" t="str">
        <f>HLOOKUP(J44,LOCATION!$B$2:$M$3,2,FALSE)</f>
        <v>SPAIN</v>
      </c>
      <c r="L44" s="4" t="str">
        <f>_xlfn.XLOOKUP(K44,LOCATION!$B$3:$M$3,LOCATION!$B$1:$M$1,,0)</f>
        <v>Spanish</v>
      </c>
      <c r="M44" s="4" t="str">
        <f t="shared" si="1"/>
        <v>banda.isabel@xyz.com</v>
      </c>
      <c r="N44" s="35">
        <v>102.3</v>
      </c>
      <c r="O44" s="2" t="s">
        <v>213</v>
      </c>
      <c r="P44" s="2" t="s">
        <v>217</v>
      </c>
      <c r="Q44" s="3" t="str">
        <f>_xlfn.XLOOKUP(R44,SPORT!$B$2:$B$33,SPORT!$A$2:$A$33)</f>
        <v>OUTDOOR</v>
      </c>
      <c r="R44" s="2" t="s">
        <v>196</v>
      </c>
      <c r="S44" s="49">
        <v>50659</v>
      </c>
    </row>
    <row r="45" spans="1:19" x14ac:dyDescent="0.3">
      <c r="A45" s="33">
        <v>44</v>
      </c>
      <c r="B45" s="3" t="str">
        <f t="shared" si="0"/>
        <v>CAROLOTA  MATEOS</v>
      </c>
      <c r="C45" s="2" t="s">
        <v>109</v>
      </c>
      <c r="D45" s="2" t="s">
        <v>115</v>
      </c>
      <c r="E45" s="2"/>
      <c r="F45" s="2" t="s">
        <v>116</v>
      </c>
      <c r="G45" s="34">
        <v>23952</v>
      </c>
      <c r="H45" s="2" t="s">
        <v>30</v>
      </c>
      <c r="I45" s="2" t="s">
        <v>138</v>
      </c>
      <c r="J45" s="4" t="s">
        <v>162</v>
      </c>
      <c r="K45" s="4" t="str">
        <f>HLOOKUP(J45,LOCATION!$B$2:$M$3,2,FALSE)</f>
        <v>SPAIN</v>
      </c>
      <c r="L45" s="4" t="str">
        <f>_xlfn.XLOOKUP(K45,LOCATION!$B$3:$M$3,LOCATION!$B$1:$M$1,,0)</f>
        <v>Spanish</v>
      </c>
      <c r="M45" s="4" t="str">
        <f t="shared" si="1"/>
        <v>mateos.carolota@xyz.com</v>
      </c>
      <c r="N45" s="35">
        <v>58.8</v>
      </c>
      <c r="O45" s="2" t="s">
        <v>218</v>
      </c>
      <c r="P45" s="2" t="s">
        <v>212</v>
      </c>
      <c r="Q45" s="3" t="str">
        <f>_xlfn.XLOOKUP(R45,SPORT!$B$2:$B$33,SPORT!$A$2:$A$33)</f>
        <v>OUTDOOR</v>
      </c>
      <c r="R45" s="2" t="s">
        <v>202</v>
      </c>
      <c r="S45" s="49">
        <v>58215</v>
      </c>
    </row>
    <row r="46" spans="1:19" x14ac:dyDescent="0.3">
      <c r="A46" s="33">
        <v>45</v>
      </c>
      <c r="B46" s="3" t="str">
        <f t="shared" si="0"/>
        <v>ELIZE  PRINS</v>
      </c>
      <c r="C46" s="2" t="s">
        <v>117</v>
      </c>
      <c r="D46" s="2" t="s">
        <v>118</v>
      </c>
      <c r="E46" s="2"/>
      <c r="F46" s="2" t="s">
        <v>119</v>
      </c>
      <c r="G46" s="34">
        <v>22044</v>
      </c>
      <c r="H46" s="2" t="s">
        <v>20</v>
      </c>
      <c r="I46" s="2" t="s">
        <v>138</v>
      </c>
      <c r="J46" s="4" t="s">
        <v>165</v>
      </c>
      <c r="K46" s="4" t="str">
        <f>HLOOKUP(J46,LOCATION!$B$2:$M$3,2,FALSE)</f>
        <v>NETHERLANDS</v>
      </c>
      <c r="L46" s="4" t="str">
        <f>_xlfn.XLOOKUP(K46,LOCATION!$B$3:$M$3,LOCATION!$B$1:$M$1,,0)</f>
        <v>Dutch</v>
      </c>
      <c r="M46" s="4" t="str">
        <f t="shared" si="1"/>
        <v>prins.elize@xyz.com</v>
      </c>
      <c r="N46" s="35">
        <v>63.8</v>
      </c>
      <c r="O46" s="2" t="s">
        <v>214</v>
      </c>
      <c r="P46" s="2" t="s">
        <v>217</v>
      </c>
      <c r="Q46" s="3" t="str">
        <f>_xlfn.XLOOKUP(R46,SPORT!$B$2:$B$33,SPORT!$A$2:$A$33)</f>
        <v>INDOOR</v>
      </c>
      <c r="R46" s="2" t="s">
        <v>204</v>
      </c>
      <c r="S46" s="49">
        <v>39935</v>
      </c>
    </row>
    <row r="47" spans="1:19" x14ac:dyDescent="0.3">
      <c r="A47" s="33">
        <v>46</v>
      </c>
      <c r="B47" s="3" t="str">
        <f t="shared" si="0"/>
        <v>RYAN  PHAM</v>
      </c>
      <c r="C47" s="2" t="s">
        <v>120</v>
      </c>
      <c r="D47" s="2" t="s">
        <v>121</v>
      </c>
      <c r="E47" s="2"/>
      <c r="F47" s="2" t="s">
        <v>122</v>
      </c>
      <c r="G47" s="34">
        <v>26940</v>
      </c>
      <c r="H47" s="2" t="s">
        <v>9</v>
      </c>
      <c r="I47" s="2" t="s">
        <v>142</v>
      </c>
      <c r="J47" s="4" t="s">
        <v>165</v>
      </c>
      <c r="K47" s="4" t="str">
        <f>HLOOKUP(J47,LOCATION!$B$2:$M$3,2,FALSE)</f>
        <v>NETHERLANDS</v>
      </c>
      <c r="L47" s="4" t="str">
        <f>_xlfn.XLOOKUP(K47,LOCATION!$B$3:$M$3,LOCATION!$B$1:$M$1,,0)</f>
        <v>Dutch</v>
      </c>
      <c r="M47" s="4" t="str">
        <f t="shared" si="1"/>
        <v>pham.ryan@xyz.com</v>
      </c>
      <c r="N47" s="35">
        <v>98.6</v>
      </c>
      <c r="O47" s="2" t="s">
        <v>213</v>
      </c>
      <c r="P47" s="2" t="s">
        <v>219</v>
      </c>
      <c r="Q47" s="3" t="str">
        <f>_xlfn.XLOOKUP(R47,SPORT!$B$2:$B$33,SPORT!$A$2:$A$33)</f>
        <v>OUTDOOR</v>
      </c>
      <c r="R47" s="2" t="s">
        <v>195</v>
      </c>
      <c r="S47" s="49">
        <v>44865</v>
      </c>
    </row>
    <row r="48" spans="1:19" x14ac:dyDescent="0.3">
      <c r="A48" s="33">
        <v>47</v>
      </c>
      <c r="B48" s="3" t="str">
        <f t="shared" si="0"/>
        <v>ELISE  ROTTEVEEL</v>
      </c>
      <c r="C48" s="2" t="s">
        <v>123</v>
      </c>
      <c r="D48" s="2" t="s">
        <v>124</v>
      </c>
      <c r="E48" s="2"/>
      <c r="F48" s="2" t="s">
        <v>125</v>
      </c>
      <c r="G48" s="34">
        <v>24936</v>
      </c>
      <c r="H48" s="2" t="s">
        <v>69</v>
      </c>
      <c r="I48" s="2" t="s">
        <v>138</v>
      </c>
      <c r="J48" s="4" t="s">
        <v>165</v>
      </c>
      <c r="K48" s="4" t="str">
        <f>HLOOKUP(J48,LOCATION!$B$2:$M$3,2,FALSE)</f>
        <v>NETHERLANDS</v>
      </c>
      <c r="L48" s="4" t="str">
        <f>_xlfn.XLOOKUP(K48,LOCATION!$B$3:$M$3,LOCATION!$B$1:$M$1,,0)</f>
        <v>Dutch</v>
      </c>
      <c r="M48" s="4" t="str">
        <f t="shared" si="1"/>
        <v>rotteveel.elise@xyz.com</v>
      </c>
      <c r="N48" s="35">
        <v>61.8</v>
      </c>
      <c r="O48" s="2" t="s">
        <v>218</v>
      </c>
      <c r="P48" s="2" t="s">
        <v>212</v>
      </c>
      <c r="Q48" s="3" t="str">
        <f>_xlfn.XLOOKUP(R48,SPORT!$B$2:$B$33,SPORT!$A$2:$A$33)</f>
        <v>OUTDOOR</v>
      </c>
      <c r="R48" s="2" t="s">
        <v>195</v>
      </c>
      <c r="S48" s="49">
        <v>90478</v>
      </c>
    </row>
    <row r="49" spans="1:19" x14ac:dyDescent="0.3">
      <c r="A49" s="33">
        <v>48</v>
      </c>
      <c r="B49" s="3" t="str">
        <f t="shared" si="0"/>
        <v>MIRJAM  SODERBERG</v>
      </c>
      <c r="C49" s="2" t="s">
        <v>126</v>
      </c>
      <c r="D49" s="2" t="s">
        <v>127</v>
      </c>
      <c r="E49" s="2"/>
      <c r="F49" s="2" t="s">
        <v>128</v>
      </c>
      <c r="G49" s="34">
        <v>35567</v>
      </c>
      <c r="H49" s="2" t="s">
        <v>20</v>
      </c>
      <c r="I49" s="2" t="s">
        <v>138</v>
      </c>
      <c r="J49" s="4" t="s">
        <v>168</v>
      </c>
      <c r="K49" s="4" t="str">
        <f>HLOOKUP(J49,LOCATION!$B$2:$M$3,2,FALSE)</f>
        <v>SWEDEN</v>
      </c>
      <c r="L49" s="4" t="str">
        <f>_xlfn.XLOOKUP(K49,LOCATION!$B$3:$M$3,LOCATION!$B$1:$M$1,,0)</f>
        <v>Swedish</v>
      </c>
      <c r="M49" s="4" t="str">
        <f t="shared" si="1"/>
        <v>soderberg.mirjam@xyz.com</v>
      </c>
      <c r="N49" s="35">
        <v>50</v>
      </c>
      <c r="O49" s="2" t="s">
        <v>213</v>
      </c>
      <c r="P49" s="2" t="s">
        <v>217</v>
      </c>
      <c r="Q49" s="3" t="str">
        <f>_xlfn.XLOOKUP(R49,SPORT!$B$2:$B$33,SPORT!$A$2:$A$33)</f>
        <v>OUTDOOR</v>
      </c>
      <c r="R49" s="2" t="s">
        <v>177</v>
      </c>
      <c r="S49" s="49">
        <v>38965</v>
      </c>
    </row>
    <row r="50" spans="1:19" x14ac:dyDescent="0.3">
      <c r="A50" s="33">
        <v>49</v>
      </c>
      <c r="B50" s="3" t="str">
        <f t="shared" si="0"/>
        <v>BERNDT  PALSSON</v>
      </c>
      <c r="C50" s="2" t="s">
        <v>129</v>
      </c>
      <c r="D50" s="2" t="s">
        <v>130</v>
      </c>
      <c r="E50" s="2"/>
      <c r="F50" s="2" t="s">
        <v>131</v>
      </c>
      <c r="G50" s="34">
        <v>31832</v>
      </c>
      <c r="H50" s="2" t="s">
        <v>53</v>
      </c>
      <c r="I50" s="2" t="s">
        <v>142</v>
      </c>
      <c r="J50" s="4" t="s">
        <v>168</v>
      </c>
      <c r="K50" s="4" t="str">
        <f>HLOOKUP(J50,LOCATION!$B$2:$M$3,2,FALSE)</f>
        <v>SWEDEN</v>
      </c>
      <c r="L50" s="4" t="str">
        <f>_xlfn.XLOOKUP(K50,LOCATION!$B$3:$M$3,LOCATION!$B$1:$M$1,,0)</f>
        <v>Swedish</v>
      </c>
      <c r="M50" s="4" t="str">
        <f t="shared" si="1"/>
        <v>palsson.berndt@xyz.com</v>
      </c>
      <c r="N50" s="35">
        <v>45.9</v>
      </c>
      <c r="O50" s="2" t="s">
        <v>214</v>
      </c>
      <c r="P50" s="2" t="s">
        <v>210</v>
      </c>
      <c r="Q50" s="3" t="str">
        <f>_xlfn.XLOOKUP(R50,SPORT!$B$2:$B$33,SPORT!$A$2:$A$33)</f>
        <v>OUTDOOR</v>
      </c>
      <c r="R50" s="2" t="s">
        <v>205</v>
      </c>
      <c r="S50" s="49">
        <v>35387</v>
      </c>
    </row>
    <row r="51" spans="1:19" x14ac:dyDescent="0.3">
      <c r="A51" s="33">
        <v>50</v>
      </c>
      <c r="B51" s="3" t="str">
        <f t="shared" si="0"/>
        <v>ADRIANO PONTES SOBRINHO</v>
      </c>
      <c r="C51" s="2" t="s">
        <v>13</v>
      </c>
      <c r="D51" s="2" t="s">
        <v>132</v>
      </c>
      <c r="E51" s="2" t="s">
        <v>133</v>
      </c>
      <c r="F51" s="2" t="s">
        <v>134</v>
      </c>
      <c r="G51" s="34">
        <v>34178</v>
      </c>
      <c r="H51" s="2" t="s">
        <v>30</v>
      </c>
      <c r="I51" s="2" t="s">
        <v>142</v>
      </c>
      <c r="J51" s="4" t="s">
        <v>169</v>
      </c>
      <c r="K51" s="4" t="str">
        <f>HLOOKUP(J51,LOCATION!$B$2:$M$3,2,FALSE)</f>
        <v>BRAZIL</v>
      </c>
      <c r="L51" s="4" t="str">
        <f>_xlfn.XLOOKUP(K51,LOCATION!$B$3:$M$3,LOCATION!$B$1:$M$1,,0)</f>
        <v>Portuguese</v>
      </c>
      <c r="M51" s="4" t="str">
        <f t="shared" si="1"/>
        <v>sobrinho.adriano@xyz.com</v>
      </c>
      <c r="N51" s="35">
        <v>92.5</v>
      </c>
      <c r="O51" s="2" t="s">
        <v>209</v>
      </c>
      <c r="P51" s="2" t="s">
        <v>216</v>
      </c>
      <c r="Q51" s="3" t="str">
        <f>_xlfn.XLOOKUP(R51,SPORT!$B$2:$B$33,SPORT!$A$2:$A$33)</f>
        <v>INDOOR</v>
      </c>
      <c r="R51" s="2" t="s">
        <v>206</v>
      </c>
      <c r="S51" s="49">
        <v>20532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D1" sqref="D1"/>
    </sheetView>
  </sheetViews>
  <sheetFormatPr defaultRowHeight="14.4" x14ac:dyDescent="0.3"/>
  <cols>
    <col min="1" max="1" width="15.5546875" bestFit="1" customWidth="1"/>
    <col min="2" max="2" width="24" bestFit="1" customWidth="1"/>
  </cols>
  <sheetData>
    <row r="1" spans="1:2" x14ac:dyDescent="0.3">
      <c r="A1" s="30" t="s">
        <v>171</v>
      </c>
      <c r="B1" s="30" t="s">
        <v>172</v>
      </c>
    </row>
    <row r="2" spans="1:2" x14ac:dyDescent="0.3">
      <c r="A2" s="31" t="s">
        <v>173</v>
      </c>
      <c r="B2" s="31" t="s">
        <v>174</v>
      </c>
    </row>
    <row r="3" spans="1:2" x14ac:dyDescent="0.3">
      <c r="A3" s="32" t="s">
        <v>173</v>
      </c>
      <c r="B3" s="32" t="s">
        <v>175</v>
      </c>
    </row>
    <row r="4" spans="1:2" x14ac:dyDescent="0.3">
      <c r="A4" s="32" t="s">
        <v>176</v>
      </c>
      <c r="B4" s="32" t="s">
        <v>177</v>
      </c>
    </row>
    <row r="5" spans="1:2" x14ac:dyDescent="0.3">
      <c r="A5" s="32" t="s">
        <v>176</v>
      </c>
      <c r="B5" s="32" t="s">
        <v>178</v>
      </c>
    </row>
    <row r="6" spans="1:2" x14ac:dyDescent="0.3">
      <c r="A6" s="32" t="s">
        <v>173</v>
      </c>
      <c r="B6" s="32" t="s">
        <v>179</v>
      </c>
    </row>
    <row r="7" spans="1:2" x14ac:dyDescent="0.3">
      <c r="A7" s="32" t="s">
        <v>173</v>
      </c>
      <c r="B7" s="32" t="s">
        <v>180</v>
      </c>
    </row>
    <row r="8" spans="1:2" x14ac:dyDescent="0.3">
      <c r="A8" s="32" t="s">
        <v>176</v>
      </c>
      <c r="B8" s="32" t="s">
        <v>181</v>
      </c>
    </row>
    <row r="9" spans="1:2" x14ac:dyDescent="0.3">
      <c r="A9" s="32" t="s">
        <v>173</v>
      </c>
      <c r="B9" s="32" t="s">
        <v>182</v>
      </c>
    </row>
    <row r="10" spans="1:2" x14ac:dyDescent="0.3">
      <c r="A10" s="32" t="s">
        <v>173</v>
      </c>
      <c r="B10" s="32" t="s">
        <v>183</v>
      </c>
    </row>
    <row r="11" spans="1:2" x14ac:dyDescent="0.3">
      <c r="A11" s="32" t="s">
        <v>176</v>
      </c>
      <c r="B11" s="32" t="s">
        <v>184</v>
      </c>
    </row>
    <row r="12" spans="1:2" x14ac:dyDescent="0.3">
      <c r="A12" s="32" t="s">
        <v>176</v>
      </c>
      <c r="B12" s="32" t="s">
        <v>185</v>
      </c>
    </row>
    <row r="13" spans="1:2" x14ac:dyDescent="0.3">
      <c r="A13" s="32" t="s">
        <v>176</v>
      </c>
      <c r="B13" s="32" t="s">
        <v>186</v>
      </c>
    </row>
    <row r="14" spans="1:2" x14ac:dyDescent="0.3">
      <c r="A14" s="32" t="s">
        <v>176</v>
      </c>
      <c r="B14" s="32" t="s">
        <v>187</v>
      </c>
    </row>
    <row r="15" spans="1:2" x14ac:dyDescent="0.3">
      <c r="A15" s="32" t="s">
        <v>173</v>
      </c>
      <c r="B15" s="32" t="s">
        <v>188</v>
      </c>
    </row>
    <row r="16" spans="1:2" x14ac:dyDescent="0.3">
      <c r="A16" s="32" t="s">
        <v>173</v>
      </c>
      <c r="B16" s="32" t="s">
        <v>189</v>
      </c>
    </row>
    <row r="17" spans="1:2" x14ac:dyDescent="0.3">
      <c r="A17" s="32" t="s">
        <v>176</v>
      </c>
      <c r="B17" s="32" t="s">
        <v>190</v>
      </c>
    </row>
    <row r="18" spans="1:2" x14ac:dyDescent="0.3">
      <c r="A18" s="32" t="s">
        <v>173</v>
      </c>
      <c r="B18" s="32" t="s">
        <v>191</v>
      </c>
    </row>
    <row r="19" spans="1:2" x14ac:dyDescent="0.3">
      <c r="A19" s="32" t="s">
        <v>173</v>
      </c>
      <c r="B19" s="32" t="s">
        <v>192</v>
      </c>
    </row>
    <row r="20" spans="1:2" x14ac:dyDescent="0.3">
      <c r="A20" s="32" t="s">
        <v>176</v>
      </c>
      <c r="B20" s="32" t="s">
        <v>193</v>
      </c>
    </row>
    <row r="21" spans="1:2" x14ac:dyDescent="0.3">
      <c r="A21" s="32" t="s">
        <v>176</v>
      </c>
      <c r="B21" s="32" t="s">
        <v>194</v>
      </c>
    </row>
    <row r="22" spans="1:2" x14ac:dyDescent="0.3">
      <c r="A22" s="32" t="s">
        <v>176</v>
      </c>
      <c r="B22" s="32" t="s">
        <v>195</v>
      </c>
    </row>
    <row r="23" spans="1:2" x14ac:dyDescent="0.3">
      <c r="A23" s="32" t="s">
        <v>176</v>
      </c>
      <c r="B23" s="32" t="s">
        <v>196</v>
      </c>
    </row>
    <row r="24" spans="1:2" x14ac:dyDescent="0.3">
      <c r="A24" s="32" t="s">
        <v>173</v>
      </c>
      <c r="B24" s="32" t="s">
        <v>197</v>
      </c>
    </row>
    <row r="25" spans="1:2" x14ac:dyDescent="0.3">
      <c r="A25" s="32" t="s">
        <v>176</v>
      </c>
      <c r="B25" s="32" t="s">
        <v>198</v>
      </c>
    </row>
    <row r="26" spans="1:2" x14ac:dyDescent="0.3">
      <c r="A26" s="32" t="s">
        <v>173</v>
      </c>
      <c r="B26" s="32" t="s">
        <v>199</v>
      </c>
    </row>
    <row r="27" spans="1:2" x14ac:dyDescent="0.3">
      <c r="A27" s="32" t="s">
        <v>176</v>
      </c>
      <c r="B27" s="32" t="s">
        <v>200</v>
      </c>
    </row>
    <row r="28" spans="1:2" x14ac:dyDescent="0.3">
      <c r="A28" s="32" t="s">
        <v>176</v>
      </c>
      <c r="B28" s="32" t="s">
        <v>201</v>
      </c>
    </row>
    <row r="29" spans="1:2" x14ac:dyDescent="0.3">
      <c r="A29" s="32" t="s">
        <v>176</v>
      </c>
      <c r="B29" s="32" t="s">
        <v>202</v>
      </c>
    </row>
    <row r="30" spans="1:2" x14ac:dyDescent="0.3">
      <c r="A30" s="32" t="s">
        <v>173</v>
      </c>
      <c r="B30" s="32" t="s">
        <v>203</v>
      </c>
    </row>
    <row r="31" spans="1:2" x14ac:dyDescent="0.3">
      <c r="A31" s="32" t="s">
        <v>173</v>
      </c>
      <c r="B31" s="32" t="s">
        <v>204</v>
      </c>
    </row>
    <row r="32" spans="1:2" x14ac:dyDescent="0.3">
      <c r="A32" s="32" t="s">
        <v>176</v>
      </c>
      <c r="B32" s="32" t="s">
        <v>205</v>
      </c>
    </row>
    <row r="33" spans="1:2" x14ac:dyDescent="0.3">
      <c r="A33" s="32" t="s">
        <v>173</v>
      </c>
      <c r="B33" s="32"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workbookViewId="0">
      <selection activeCell="G24" sqref="G24"/>
    </sheetView>
  </sheetViews>
  <sheetFormatPr defaultRowHeight="14.4" x14ac:dyDescent="0.3"/>
  <cols>
    <col min="1" max="13" width="13.6640625" style="1" customWidth="1"/>
  </cols>
  <sheetData>
    <row r="1" spans="1:13" x14ac:dyDescent="0.3">
      <c r="A1" s="5" t="s">
        <v>136</v>
      </c>
      <c r="B1" s="3" t="s">
        <v>139</v>
      </c>
      <c r="C1" s="3" t="s">
        <v>143</v>
      </c>
      <c r="D1" s="3" t="s">
        <v>139</v>
      </c>
      <c r="E1" s="3" t="s">
        <v>148</v>
      </c>
      <c r="F1" s="3" t="s">
        <v>139</v>
      </c>
      <c r="G1" s="3" t="s">
        <v>148</v>
      </c>
      <c r="H1" s="3" t="s">
        <v>155</v>
      </c>
      <c r="I1" s="3" t="s">
        <v>158</v>
      </c>
      <c r="J1" s="3" t="s">
        <v>158</v>
      </c>
      <c r="K1" s="3" t="s">
        <v>163</v>
      </c>
      <c r="L1" s="3" t="s">
        <v>166</v>
      </c>
      <c r="M1" s="3" t="s">
        <v>143</v>
      </c>
    </row>
    <row r="2" spans="1:13" x14ac:dyDescent="0.3">
      <c r="A2" s="5"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3">
      <c r="A3" s="5" t="s">
        <v>228</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ANALYSIS</vt:lpstr>
      <vt:lpstr>REPORT</vt:lpstr>
      <vt:lpstr>SPORTSMEN</vt:lpstr>
      <vt:lpstr>SPORT</vt:lpstr>
      <vt:lpstr>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saurabh kachhwaha</cp:lastModifiedBy>
  <dcterms:created xsi:type="dcterms:W3CDTF">2019-05-28T07:07:38Z</dcterms:created>
  <dcterms:modified xsi:type="dcterms:W3CDTF">2025-11-11T06:54:24Z</dcterms:modified>
</cp:coreProperties>
</file>